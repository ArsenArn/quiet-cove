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7b111e94e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0f645f8cfb4eac"/>
    <x:sheet xmlns:r="http://schemas.openxmlformats.org/officeDocument/2006/relationships" name="FAST QUESTS" sheetId="2" r:id="R6c77004ee07546ea"/>
    <x:sheet xmlns:r="http://schemas.openxmlformats.org/officeDocument/2006/relationships" name="REFERENCE QUESTS" sheetId="3" r:id="R11ba494cb0664d5b"/>
    <x:sheet xmlns:r="http://schemas.openxmlformats.org/officeDocument/2006/relationships" name="FAST RESOURCES" sheetId="4" r:id="R3d2fdd9bbcc749e1"/>
    <x:sheet xmlns:r="http://schemas.openxmlformats.org/officeDocument/2006/relationships" name="REF RESOURCES" sheetId="5" r:id="R19434d91658b439a"/>
    <x:sheet xmlns:r="http://schemas.openxmlformats.org/officeDocument/2006/relationships" name="CORE PLAYTEST" sheetId="6" r:id="Rcf4292ffe1cf409f"/>
    <x:sheet xmlns:r="http://schemas.openxmlformats.org/officeDocument/2006/relationships" name="OPTIONAL PORT" sheetId="7" r:id="R14d836b19857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3D6175"/>
      <x:name val="Carlito"/>
    </x:font>
    <x:font>
      <x:b/>
      <x:sz val="10"/>
      <x:color rgb="FFFFFFFF"/>
      <x:name val="Carlito"/>
    </x:font>
    <x:font>
      <x:b/>
      <x:sz val="11"/>
      <x:color rgb="FF143B50"/>
      <x:name val="Carlito"/>
    </x:font>
    <x:font>
      <x:b/>
      <x:sz val="11"/>
      <x:color rgb="FFFFFFFF"/>
      <x:name val="Carlito"/>
    </x:font>
    <x:font>
      <x:b/>
      <x:sz val="11"/>
      <x:color rgb="FF133E4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24B"/>
      </x:patternFill>
    </x:fill>
    <x:fill>
      <x:patternFill patternType="solid">
        <x:fgColor rgb="FF117A92"/>
      </x:patternFill>
    </x:fill>
    <x:fill>
      <x:patternFill patternType="solid">
        <x:fgColor rgb="FFEAF7F7"/>
      </x:patternFill>
    </x:fill>
    <x:fill>
      <x:patternFill patternType="solid">
        <x:fgColor rgb="FFF6FAFC"/>
      </x:patternFill>
    </x:fill>
    <x:fill>
      <x:patternFill patternType="solid">
        <x:fgColor rgb="FFC3E9DF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200" fontId="0" fillId="4" borderId="1" xfId="0" applyNumberFormat="1" applyFont="1" applyFill="1" applyBorder="1"/>
    <x:xf numFmtId="200" fontId="0" fillId="5" borderId="1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999eac8a04fde" /><Relationship Type="http://schemas.openxmlformats.org/officeDocument/2006/relationships/theme" Target="/xl/theme/theme1.xml" Id="R891c00fdbb3b4d13" /><Relationship Type="http://schemas.openxmlformats.org/officeDocument/2006/relationships/sharedStrings" Target="/xl/sharedStrings.xml" Id="Rb4bc1e66b30a48ea" /><Relationship Type="http://schemas.openxmlformats.org/officeDocument/2006/relationships/worksheet" Target="/xl/worksheets/sheet1.xml" Id="R570f645f8cfb4eac" /><Relationship Type="http://schemas.openxmlformats.org/officeDocument/2006/relationships/worksheet" Target="/xl/worksheets/sheet2.xml" Id="R6c77004ee07546ea" /><Relationship Type="http://schemas.openxmlformats.org/officeDocument/2006/relationships/worksheet" Target="/xl/worksheets/sheet3.xml" Id="R11ba494cb0664d5b" /><Relationship Type="http://schemas.openxmlformats.org/officeDocument/2006/relationships/worksheet" Target="/xl/worksheets/sheet4.xml" Id="R3d2fdd9bbcc749e1" /><Relationship Type="http://schemas.openxmlformats.org/officeDocument/2006/relationships/worksheet" Target="/xl/worksheets/sheet5.xml" Id="R19434d91658b439a" /><Relationship Type="http://schemas.openxmlformats.org/officeDocument/2006/relationships/worksheet" Target="/xl/worksheets/sheet6.xml" Id="Rcf4292ffe1cf409f" /><Relationship Type="http://schemas.openxmlformats.org/officeDocument/2006/relationships/worksheet" Target="/xl/worksheets/sheet7.xml" Id="R14d836b198574b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32" hidden="0" customWidth="1"/>
    <x:col min="4" max="4" width="64" hidden="0" customWidth="1"/>
    <x:col min="5" max="5" width="8" hidden="0" customWidth="1"/>
    <x:col min="6" max="6" width="8" hidden="0" customWidth="1"/>
  </x:cols>
  <x:sheetData>
    <x:row r="1" ht="32" customHeight="1">
      <x:c r="A1" s="3" t="str">
        <x:v>QUIET COVE  /  QUEST &amp; ECONOMY</x:v>
      </x:c>
      <x:c r="B1" s="3"/>
      <x:c r="C1" s="3"/>
      <x:c r="D1" s="3"/>
      <x:c r="E1" s="3"/>
      <x:c r="F1" s="3"/>
    </x:row>
    <x:row r="3" ht="24" customHeight="1">
      <x:c r="A3" s="6" t="str">
        <x:v>Submission appendix  ·  FAST = playable prototype  ·  REFERENCE = extended balance comparison</x:v>
      </x:c>
      <x:c r="B3" s="6"/>
      <x:c r="C3" s="6"/>
      <x:c r="D3" s="6"/>
      <x:c r="E3" s="6"/>
      <x:c r="F3" s="6"/>
    </x:row>
    <x:row r="5" ht="30" customHeight="1">
      <x:c r="A5" s="11" t="str">
        <x:v>METRIC</x:v>
      </x:c>
      <x:c r="B5" s="11" t="str">
        <x:v>FAST</x:v>
      </x:c>
      <x:c r="C5" s="11" t="str">
        <x:v>REFERENCE</x:v>
      </x:c>
      <x:c r="D5" s="11" t="str">
        <x:v>NOTES</x:v>
      </x:c>
      <x:c r="E5" s="11" t="str"/>
      <x:c r="F5" s="11" t="str"/>
    </x:row>
    <x:row r="6" ht="23" customHeight="1">
      <x:c r="A6" s="18" t="str">
        <x:v>Guided quests</x:v>
      </x:c>
      <x:c r="B6" s="16" t="n">
        <x:v>34</x:v>
      </x:c>
      <x:c r="C6" s="16" t="n">
        <x:v>34</x:v>
      </x:c>
      <x:c r="D6" s="16" t="str">
        <x:v>15 core + 19 extended</x:v>
      </x:c>
      <x:c r="E6" s="16"/>
      <x:c r="F6" s="16"/>
    </x:row>
    <x:row r="7" ht="23" customHeight="1">
      <x:c r="A7" s="18" t="str">
        <x:v>Core milestone</x:v>
      </x:c>
      <x:c r="B7" s="16" t="str">
        <x:v>~10 min</x:v>
      </x:c>
      <x:c r="C7" s="16" t="str">
        <x:v>Not target-timed</x:v>
      </x:c>
      <x:c r="D7" s="16" t="str">
        <x:v>Actual FAST playtest reaches Q15 at 10:00</x:v>
      </x:c>
      <x:c r="E7" s="16"/>
      <x:c r="F7" s="16"/>
    </x:row>
    <x:row r="8" ht="23" customHeight="1">
      <x:c r="A8" s="18" t="str">
        <x:v>Source values</x:v>
      </x:c>
      <x:c r="B8" s="16" t="str">
        <x:v>QUESTS.csv</x:v>
      </x:c>
      <x:c r="C8" s="16" t="str">
        <x:v>QUESTS.csv</x:v>
      </x:c>
      <x:c r="D8" s="16" t="str">
        <x:v>Verified against current runtime JSON and QUESTS.csv</x:v>
      </x:c>
      <x:c r="E8" s="16"/>
      <x:c r="F8" s="16"/>
    </x:row>
    <x:row r="9" ht="23" customHeight="1">
      <x:c r="A9" s="18" t="str">
        <x:v>Resource profile</x:v>
      </x:c>
      <x:c r="B9" s="16" t="str">
        <x:v>FAST RESOURCES</x:v>
      </x:c>
      <x:c r="C9" s="16" t="str">
        <x:v>REF RESOURCES</x:v>
      </x:c>
      <x:c r="D9" s="16" t="str">
        <x:v>Profile-specific stock, prices, value and timers</x:v>
      </x:c>
      <x:c r="E9" s="16"/>
      <x:c r="F9" s="16"/>
    </x:row>
    <x:row r="10" ht="23" customHeight="1">
      <x:c r="A10" s="18" t="str">
        <x:v>Optional second port</x:v>
      </x:c>
      <x:c r="B10" s="16" t="str">
        <x:v>1,800 Coins + 60 Metal</x:v>
      </x:c>
      <x:c r="C10" s="16" t="str">
        <x:v>11,000 Coins + 120 Metal</x:v>
      </x:c>
      <x:c r="D10" s="16" t="str">
        <x:v>Available after reward of Q26</x:v>
      </x:c>
      <x:c r="E10" s="16"/>
      <x:c r="F10" s="16"/>
    </x:row>
    <x:row r="11" ht="23" customHeight="1">
      <x:c r="A11" s="18" t="str">
        <x:v>Second port build timer</x:v>
      </x:c>
      <x:c r="B11" s="16" t="str">
        <x:v>45 s</x:v>
      </x:c>
      <x:c r="C11" s="16" t="str">
        <x:v>900 s</x:v>
      </x:c>
      <x:c r="D11" s="16" t="str">
        <x:v>Optional, not a quest, no double counting</x:v>
      </x:c>
      <x:c r="E11" s="16"/>
      <x:c r="F11" s="16"/>
    </x:row>
    <x:row r="12" ht="23" customHeight="1">
      <x:c r="A12" s="18" t="str">
        <x:v>Reference status</x:v>
      </x:c>
      <x:c r="B12" s="16" t="str">
        <x:v>Adapted shorter economy</x:v>
      </x:c>
      <x:c r="C12" s="16" t="str">
        <x:v>Reference-informed profile</x:v>
      </x:c>
      <x:c r="D12" s="16" t="str">
        <x:v>Not a claim of identical APK economy</x:v>
      </x:c>
      <x:c r="E12" s="16"/>
      <x:c r="F12" s="16"/>
    </x:row>
    <x:row r="13" ht="23" customHeight="1">
      <x:c r="A13" s="18" t="str">
        <x:v>Data scope</x:v>
      </x:c>
      <x:c r="B13" s="16" t="str">
        <x:v>Per-quest costs, timer and reward</x:v>
      </x:c>
      <x:c r="C13" s="16" t="str">
        <x:v>Per-quest costs, timer and reward</x:v>
      </x:c>
      <x:c r="D13" s="16" t="str">
        <x:v>Some timers represent staged purchases</x:v>
      </x:c>
      <x:c r="E13" s="16"/>
      <x:c r="F13" s="16"/>
    </x:row>
    <x:row r="14" ht="23" customHeight="1">
      <x:c r="A14" s="18" t="str">
        <x:v>Human validation</x:v>
      </x:c>
      <x:c r="B14" s="16" t="str">
        <x:v>Q15 at 10:00 active time</x:v>
      </x:c>
      <x:c r="C14" s="16" t="str">
        <x:v>—</x:v>
      </x:c>
      <x:c r="D14" s="16" t="str">
        <x:v>One FAST playtest; no claim of full manual completion</x:v>
      </x:c>
      <x:c r="E14" s="16"/>
      <x:c r="F14" s="16"/>
    </x:row>
    <x:row r="15" ht="23" customHeight="1">
      <x:c r="A15" s="16"/>
      <x:c r="B15" s="16"/>
      <x:c r="C15" s="16"/>
      <x:c r="D15" s="16"/>
      <x:c r="E15" s="16"/>
      <x:c r="F15" s="16"/>
    </x:row>
    <x:row r="16" ht="22" customHeight="1">
      <x:c r="A16" s="21" t="str">
        <x:v>HOW TO READ</x:v>
      </x:c>
      <x:c r="B16" s="21" t="str"/>
      <x:c r="C16" s="21" t="str"/>
      <x:c r="D16" s="21" t="str"/>
      <x:c r="E16" s="21" t="str"/>
      <x:c r="F16" s="21" t="str"/>
    </x:row>
    <x:row r="17" ht="23" customHeight="1">
      <x:c r="A17" s="16" t="str">
        <x:v>Quest cost</x:v>
      </x:c>
      <x:c r="B17" s="16" t="str">
        <x:v>Coins + Metal necessary for that quest milestone</x:v>
      </x:c>
      <x:c r="C17" s="16" t="str"/>
      <x:c r="D17" s="16" t="str"/>
      <x:c r="E17" s="16"/>
      <x:c r="F17" s="16"/>
    </x:row>
    <x:row r="18" ht="23" customHeight="1">
      <x:c r="A18" s="16" t="str">
        <x:v>Quest build timer</x:v>
      </x:c>
      <x:c r="B18" s="16" t="str">
        <x:v>A summed sequence (e.g. 7+7) represents multiple builds</x:v>
      </x:c>
      <x:c r="C18" s="16" t="str"/>
      <x:c r="D18" s="16" t="str"/>
      <x:c r="E18" s="16"/>
      <x:c r="F18" s="16"/>
    </x:row>
    <x:row r="19" ht="23" customHeight="1">
      <x:c r="A19" s="16" t="str">
        <x:v>Quest 9 → 10</x:v>
      </x:c>
      <x:c r="B19" s="16" t="str">
        <x:v>One speedboat order; Q10 does NOT imply a second purchase</x:v>
      </x:c>
      <x:c r="C19" s="16" t="str"/>
      <x:c r="D19" s="16" t="str"/>
      <x:c r="E19" s="16"/>
      <x:c r="F19" s="16"/>
    </x:row>
    <x:row r="20" ht="23" customHeight="1">
      <x:c r="A20" s="16" t="str">
        <x:v>All values</x:v>
      </x:c>
      <x:c r="B20" s="16" t="str">
        <x:v>Values verified against current runtime balance files and QUESTS.csv</x:v>
      </x:c>
      <x:c r="C20" s="16" t="str"/>
      <x:c r="D20" s="16" t="str"/>
      <x:c r="E20" s="16"/>
      <x:c r="F20" s="16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9" hidden="0" customWidth="1"/>
    <x:col min="3" max="3" width="45" hidden="0" customWidth="1"/>
    <x:col min="4" max="4" width="16" hidden="0" customWidth="1"/>
    <x:col min="5" max="5" width="15" hidden="0" customWidth="1"/>
    <x:col min="6" max="6" width="19" hidden="0" customWidth="1"/>
    <x:col min="7" max="7" width="17" hidden="0" customWidth="1"/>
    <x:col min="8" max="8" width="16" hidden="0" customWidth="1"/>
    <x:col min="9" max="9" width="39" hidden="0" customWidth="1"/>
    <x:col min="10" max="10" width="28" hidden="0" customWidth="1"/>
    <x:col min="11" max="11" width="52" hidden="0" customWidth="1"/>
  </x:cols>
  <x:sheetData>
    <x:row r="1" ht="32" customHeight="1">
      <x:c r="A1" s="3" t="str">
        <x:v>QUIET COVE  /  FAST QUESTS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24" customHeight="1">
      <x:c r="A3" s="6" t="str">
        <x:v>34 sequential quests  •  Q1–15: core experience  •  Q16–34: extended content  •  costs are per objective, not cumulative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30" customHeight="1">
      <x:c r="A5" s="11" t="str">
        <x:v>#</x:v>
      </x:c>
      <x:c r="B5" s="11" t="str">
        <x:v>SECTION</x:v>
      </x:c>
      <x:c r="C5" s="11" t="str">
        <x:v>QUEST / OBJECTIVE</x:v>
      </x:c>
      <x:c r="D5" s="11" t="str">
        <x:v>COST COINS</x:v>
      </x:c>
      <x:c r="E5" s="11" t="str">
        <x:v>COST METAL</x:v>
      </x:c>
      <x:c r="F5" s="11" t="str">
        <x:v>BUILD TIMER (s)</x:v>
      </x:c>
      <x:c r="G5" s="11" t="str">
        <x:v>REWARD COINS</x:v>
      </x:c>
      <x:c r="H5" s="11" t="str">
        <x:v>REWARD METAL</x:v>
      </x:c>
      <x:c r="I5" s="11" t="str">
        <x:v>COMPLETION RULE</x:v>
      </x:c>
      <x:c r="J5" s="11" t="str">
        <x:v>CUMULATIVE QUEST REWARDS</x:v>
      </x:c>
      <x:c r="K5" s="11" t="str">
        <x:v>NOTES</x:v>
      </x:c>
    </x:row>
    <x:row r="6" ht="23" customHeight="1">
      <x:c r="A6" s="40" t="n">
        <x:v>1</x:v>
      </x:c>
      <x:c r="B6" s="32" t="str">
        <x:v>CORE · Z1</x:v>
      </x:c>
      <x:c r="C6" s="32" t="str">
        <x:v>Catch your first sardine</x:v>
      </x:c>
      <x:c r="D6" s="33" t="n">
        <x:v>0</x:v>
      </x:c>
      <x:c r="E6" s="33" t="n">
        <x:v>0</x:v>
      </x:c>
      <x:c r="F6" s="32" t="n">
        <x:v>0</x:v>
      </x:c>
      <x:c r="G6" s="33" t="n">
        <x:v>8</x:v>
      </x:c>
      <x:c r="H6" s="33" t="n">
        <x:v>0</x:v>
      </x:c>
      <x:c r="I6" s="32" t="str">
        <x:v>catch_sardine &gt;= 1</x:v>
      </x:c>
      <x:c r="J6" s="33" t="n">
        <x:f>SUM($G$6:G6)</x:f>
        <x:v>8</x:v>
      </x:c>
      <x:c r="K6" s="44" t="str"/>
    </x:row>
    <x:row r="7" ht="23" customHeight="1">
      <x:c r="A7" s="40" t="n">
        <x:v>2</x:v>
      </x:c>
      <x:c r="B7" s="32" t="str">
        <x:v>CORE · Z1</x:v>
      </x:c>
      <x:c r="C7" s="32" t="str">
        <x:v>Deliver fish to the harbor</x:v>
      </x:c>
      <x:c r="D7" s="33" t="n">
        <x:v>0</x:v>
      </x:c>
      <x:c r="E7" s="33" t="n">
        <x:v>0</x:v>
      </x:c>
      <x:c r="F7" s="32" t="n">
        <x:v>0</x:v>
      </x:c>
      <x:c r="G7" s="33" t="n">
        <x:v>12</x:v>
      </x:c>
      <x:c r="H7" s="33" t="n">
        <x:v>0</x:v>
      </x:c>
      <x:c r="I7" s="32" t="str">
        <x:v>deliver_fish &gt;= 1</x:v>
      </x:c>
      <x:c r="J7" s="33" t="n">
        <x:f>SUM($G$6:G7)</x:f>
        <x:v>20</x:v>
      </x:c>
      <x:c r="K7" s="44" t="str"/>
    </x:row>
    <x:row r="8" ht="23" customHeight="1">
      <x:c r="A8" s="40" t="n">
        <x:v>3</x:v>
      </x:c>
      <x:c r="B8" s="32" t="str">
        <x:v>CORE · Z1</x:v>
      </x:c>
      <x:c r="C8" s="32" t="str">
        <x:v>Collect 3 crates in total</x:v>
      </x:c>
      <x:c r="D8" s="33" t="n">
        <x:v>0</x:v>
      </x:c>
      <x:c r="E8" s="33" t="n">
        <x:v>0</x:v>
      </x:c>
      <x:c r="F8" s="32" t="n">
        <x:v>0</x:v>
      </x:c>
      <x:c r="G8" s="33" t="n">
        <x:v>16</x:v>
      </x:c>
      <x:c r="H8" s="33" t="n">
        <x:v>0</x:v>
      </x:c>
      <x:c r="I8" s="32" t="str">
        <x:v>catch_total &gt;= 3</x:v>
      </x:c>
      <x:c r="J8" s="33" t="n">
        <x:f>SUM($G$6:G8)</x:f>
        <x:v>36</x:v>
      </x:c>
      <x:c r="K8" s="44" t="str"/>
    </x:row>
    <x:row r="9" ht="23" customHeight="1">
      <x:c r="A9" s="40" t="n">
        <x:v>4</x:v>
      </x:c>
      <x:c r="B9" s="32" t="str">
        <x:v>CORE · Z1</x:v>
      </x:c>
      <x:c r="C9" s="32" t="str">
        <x:v>Upgrade cargo hold to Lv.1</x:v>
      </x:c>
      <x:c r="D9" s="33" t="n">
        <x:v>13</x:v>
      </x:c>
      <x:c r="E9" s="33" t="n">
        <x:v>0</x:v>
      </x:c>
      <x:c r="F9" s="32" t="n">
        <x:v>1</x:v>
      </x:c>
      <x:c r="G9" s="33" t="n">
        <x:v>16</x:v>
      </x:c>
      <x:c r="H9" s="33" t="n">
        <x:v>0</x:v>
      </x:c>
      <x:c r="I9" s="32" t="str">
        <x:v>cargo_level &gt;= 1</x:v>
      </x:c>
      <x:c r="J9" s="33" t="n">
        <x:f>SUM($G$6:G9)</x:f>
        <x:v>52</x:v>
      </x:c>
      <x:c r="K9" s="44" t="str"/>
    </x:row>
    <x:row r="10" ht="23" customHeight="1">
      <x:c r="A10" s="40" t="n">
        <x:v>5</x:v>
      </x:c>
      <x:c r="B10" s="32" t="str">
        <x:v>CORE · Z1</x:v>
      </x:c>
      <x:c r="C10" s="32" t="str">
        <x:v>Unlock the crab fishing ground</x:v>
      </x:c>
      <x:c r="D10" s="33" t="n">
        <x:v>38</x:v>
      </x:c>
      <x:c r="E10" s="33" t="n">
        <x:v>0</x:v>
      </x:c>
      <x:c r="F10" s="32" t="n">
        <x:v>1</x:v>
      </x:c>
      <x:c r="G10" s="33" t="n">
        <x:v>20</x:v>
      </x:c>
      <x:c r="H10" s="33" t="n">
        <x:v>0</x:v>
      </x:c>
      <x:c r="I10" s="32" t="str">
        <x:v>resource_ready(crab) = unlocked</x:v>
      </x:c>
      <x:c r="J10" s="33" t="n">
        <x:f>SUM($G$6:G10)</x:f>
        <x:v>72</x:v>
      </x:c>
      <x:c r="K10" s="44" t="str"/>
    </x:row>
    <x:row r="11" ht="23" customHeight="1">
      <x:c r="A11" s="40" t="n">
        <x:v>6</x:v>
      </x:c>
      <x:c r="B11" s="32" t="str">
        <x:v>CORE · Z1</x:v>
      </x:c>
      <x:c r="C11" s="32" t="str">
        <x:v>Hire your first fishing boat</x:v>
      </x:c>
      <x:c r="D11" s="33" t="n">
        <x:v>75</x:v>
      </x:c>
      <x:c r="E11" s="33" t="n">
        <x:v>0</x:v>
      </x:c>
      <x:c r="F11" s="32" t="n">
        <x:v>1</x:v>
      </x:c>
      <x:c r="G11" s="33" t="n">
        <x:v>24</x:v>
      </x:c>
      <x:c r="H11" s="33" t="n">
        <x:v>0</x:v>
      </x:c>
      <x:c r="I11" s="32" t="str">
        <x:v>normal_workers &gt;= 1</x:v>
      </x:c>
      <x:c r="J11" s="33" t="n">
        <x:f>SUM($G$6:G11)</x:f>
        <x:v>96</x:v>
      </x:c>
      <x:c r="K11" s="44" t="str"/>
    </x:row>
    <x:row r="12" ht="23" customHeight="1">
      <x:c r="A12" s="40" t="n">
        <x:v>7</x:v>
      </x:c>
      <x:c r="B12" s="32" t="str">
        <x:v>CORE · Z1</x:v>
      </x:c>
      <x:c r="C12" s="32" t="str">
        <x:v>Upgrade cargo hold to Lv.2</x:v>
      </x:c>
      <x:c r="D12" s="33" t="n">
        <x:v>98</x:v>
      </x:c>
      <x:c r="E12" s="33" t="n">
        <x:v>0</x:v>
      </x:c>
      <x:c r="F12" s="32" t="n">
        <x:v>1</x:v>
      </x:c>
      <x:c r="G12" s="33" t="n">
        <x:v>32</x:v>
      </x:c>
      <x:c r="H12" s="33" t="n">
        <x:v>0</x:v>
      </x:c>
      <x:c r="I12" s="32" t="str">
        <x:v>cargo_level &gt;= 2</x:v>
      </x:c>
      <x:c r="J12" s="33" t="n">
        <x:f>SUM($G$6:G12)</x:f>
        <x:v>128</x:v>
      </x:c>
      <x:c r="K12" s="44" t="str"/>
    </x:row>
    <x:row r="13" ht="23" customHeight="1">
      <x:c r="A13" s="40" t="n">
        <x:v>8</x:v>
      </x:c>
      <x:c r="B13" s="32" t="str">
        <x:v>CORE · Z1</x:v>
      </x:c>
      <x:c r="C13" s="32" t="str">
        <x:v>Earn 200 coins</x:v>
      </x:c>
      <x:c r="D13" s="33" t="n">
        <x:v>0</x:v>
      </x:c>
      <x:c r="E13" s="33" t="n">
        <x:v>0</x:v>
      </x:c>
      <x:c r="F13" s="32" t="n">
        <x:v>0</x:v>
      </x:c>
      <x:c r="G13" s="33" t="n">
        <x:v>40</x:v>
      </x:c>
      <x:c r="H13" s="33" t="n">
        <x:v>0</x:v>
      </x:c>
      <x:c r="I13" s="32" t="str">
        <x:v>earn_coins &gt;= 200</x:v>
      </x:c>
      <x:c r="J13" s="33" t="n">
        <x:f>SUM($G$6:G13)</x:f>
        <x:v>168</x:v>
      </x:c>
      <x:c r="K13" s="44" t="str"/>
    </x:row>
    <x:row r="14" ht="23" customHeight="1">
      <x:c r="A14" s="40" t="n">
        <x:v>9</x:v>
      </x:c>
      <x:c r="B14" s="32" t="str">
        <x:v>CORE · Z1</x:v>
      </x:c>
      <x:c r="C14" s="32" t="str">
        <x:v>Order a speedboat</x:v>
      </x:c>
      <x:c r="D14" s="33" t="n">
        <x:v>200</x:v>
      </x:c>
      <x:c r="E14" s="33" t="n">
        <x:v>0</x:v>
      </x:c>
      <x:c r="F14" s="32" t="n">
        <x:v>12</x:v>
      </x:c>
      <x:c r="G14" s="33" t="n">
        <x:v>35</x:v>
      </x:c>
      <x:c r="H14" s="33" t="n">
        <x:v>0</x:v>
      </x:c>
      <x:c r="I14" s="32" t="str">
        <x:v>speedboat_ordered &gt;= 1</x:v>
      </x:c>
      <x:c r="J14" s="33" t="n">
        <x:f>SUM($G$6:G14)</x:f>
        <x:v>203</x:v>
      </x:c>
      <x:c r="K14" s="44" t="str"/>
    </x:row>
    <x:row r="15" ht="23" customHeight="1">
      <x:c r="A15" s="40" t="n">
        <x:v>10</x:v>
      </x:c>
      <x:c r="B15" s="32" t="str">
        <x:v>CORE · Z1</x:v>
      </x:c>
      <x:c r="C15" s="32" t="str">
        <x:v>Receive the speedboat</x:v>
      </x:c>
      <x:c r="D15" s="33" t="n">
        <x:v>0</x:v>
      </x:c>
      <x:c r="E15" s="33" t="n">
        <x:v>0</x:v>
      </x:c>
      <x:c r="F15" s="32" t="n">
        <x:v>12</x:v>
      </x:c>
      <x:c r="G15" s="33" t="n">
        <x:v>50</x:v>
      </x:c>
      <x:c r="H15" s="33" t="n">
        <x:v>0</x:v>
      </x:c>
      <x:c r="I15" s="32" t="str">
        <x:v>speedboat_ready &gt;= 1</x:v>
      </x:c>
      <x:c r="J15" s="33" t="n">
        <x:f>SUM($G$6:G15)</x:f>
        <x:v>253</x:v>
      </x:c>
      <x:c r="K15" s="44" t="str">
        <x:v>Same speedboat as Q9; no new payment.</x:v>
      </x:c>
    </x:row>
    <x:row r="16" ht="23" customHeight="1">
      <x:c r="A16" s="40" t="n">
        <x:v>11</x:v>
      </x:c>
      <x:c r="B16" s="32" t="str">
        <x:v>CORE · Z1</x:v>
      </x:c>
      <x:c r="C16" s="32" t="str">
        <x:v>Unlock the mussel bank</x:v>
      </x:c>
      <x:c r="D16" s="33" t="n">
        <x:v>294</x:v>
      </x:c>
      <x:c r="E16" s="33" t="n">
        <x:v>0</x:v>
      </x:c>
      <x:c r="F16" s="32" t="n">
        <x:v>29</x:v>
      </x:c>
      <x:c r="G16" s="33" t="n">
        <x:v>65</x:v>
      </x:c>
      <x:c r="H16" s="33" t="n">
        <x:v>0</x:v>
      </x:c>
      <x:c r="I16" s="32" t="str">
        <x:v>resource_ready(mussel) = unlocked</x:v>
      </x:c>
      <x:c r="J16" s="33" t="n">
        <x:f>SUM($G$6:G16)</x:f>
        <x:v>318</x:v>
      </x:c>
      <x:c r="K16" s="44" t="str"/>
    </x:row>
    <x:row r="17" ht="23" customHeight="1">
      <x:c r="A17" s="40" t="n">
        <x:v>12</x:v>
      </x:c>
      <x:c r="B17" s="32" t="str">
        <x:v>CORE · Z1</x:v>
      </x:c>
      <x:c r="C17" s="32" t="str">
        <x:v>Expand the regular fleet to 3 boats</x:v>
      </x:c>
      <x:c r="D17" s="33" t="n">
        <x:v>312</x:v>
      </x:c>
      <x:c r="E17" s="33" t="n">
        <x:v>0</x:v>
      </x:c>
      <x:c r="F17" s="32" t="str">
        <x:v>7+7</x:v>
      </x:c>
      <x:c r="G17" s="33" t="n">
        <x:v>100</x:v>
      </x:c>
      <x:c r="H17" s="33" t="n">
        <x:v>0</x:v>
      </x:c>
      <x:c r="I17" s="32" t="str">
        <x:v>normal_workers &gt;= 3</x:v>
      </x:c>
      <x:c r="J17" s="33" t="n">
        <x:f>SUM($G$6:G17)</x:f>
        <x:v>418</x:v>
      </x:c>
      <x:c r="K17" s="44" t="str">
        <x:v>Compound cost/timer: multiple sequential upgrades.</x:v>
      </x:c>
    </x:row>
    <x:row r="18" ht="23" customHeight="1">
      <x:c r="A18" s="40" t="n">
        <x:v>13</x:v>
      </x:c>
      <x:c r="B18" s="32" t="str">
        <x:v>CORE · Z1</x:v>
      </x:c>
      <x:c r="C18" s="32" t="str">
        <x:v>Unlock the red snapper fishing ground</x:v>
      </x:c>
      <x:c r="D18" s="33" t="n">
        <x:v>450</x:v>
      </x:c>
      <x:c r="E18" s="33" t="n">
        <x:v>0</x:v>
      </x:c>
      <x:c r="F18" s="32" t="n">
        <x:v>20</x:v>
      </x:c>
      <x:c r="G18" s="33" t="n">
        <x:v>140</x:v>
      </x:c>
      <x:c r="H18" s="33" t="n">
        <x:v>0</x:v>
      </x:c>
      <x:c r="I18" s="32" t="str">
        <x:v>resource_ready(snapper) = unlocked</x:v>
      </x:c>
      <x:c r="J18" s="33" t="n">
        <x:f>SUM($G$6:G18)</x:f>
        <x:v>558</x:v>
      </x:c>
      <x:c r="K18" s="44" t="str"/>
    </x:row>
    <x:row r="19" ht="23" customHeight="1">
      <x:c r="A19" s="40" t="n">
        <x:v>14</x:v>
      </x:c>
      <x:c r="B19" s="32" t="str">
        <x:v>CORE · Z1</x:v>
      </x:c>
      <x:c r="C19" s="32" t="str">
        <x:v>Unlock the tuna shoal</x:v>
      </x:c>
      <x:c r="D19" s="33" t="n">
        <x:v>900</x:v>
      </x:c>
      <x:c r="E19" s="33" t="n">
        <x:v>0</x:v>
      </x:c>
      <x:c r="F19" s="32" t="n">
        <x:v>30</x:v>
      </x:c>
      <x:c r="G19" s="33" t="n">
        <x:v>220</x:v>
      </x:c>
      <x:c r="H19" s="33" t="n">
        <x:v>0</x:v>
      </x:c>
      <x:c r="I19" s="32" t="str">
        <x:v>resource_ready(tuna) = unlocked</x:v>
      </x:c>
      <x:c r="J19" s="33" t="n">
        <x:f>SUM($G$6:G19)</x:f>
        <x:v>778</x:v>
      </x:c>
      <x:c r="K19" s="44" t="str"/>
    </x:row>
    <x:row r="20" ht="23" customHeight="1">
      <x:c r="A20" s="40" t="n">
        <x:v>15</x:v>
      </x:c>
      <x:c r="B20" s="32" t="str">
        <x:v>CORE · Z1</x:v>
      </x:c>
      <x:c r="C20" s="32" t="str">
        <x:v>Open the route to the open sea</x:v>
      </x:c>
      <x:c r="D20" s="33" t="n">
        <x:v>1400</x:v>
      </x:c>
      <x:c r="E20" s="33" t="n">
        <x:v>0</x:v>
      </x:c>
      <x:c r="F20" s="32" t="n">
        <x:v>30</x:v>
      </x:c>
      <x:c r="G20" s="33" t="n">
        <x:v>350</x:v>
      </x:c>
      <x:c r="H20" s="33" t="n">
        <x:v>0</x:v>
      </x:c>
      <x:c r="I20" s="32" t="str">
        <x:v>area_unlocked &gt;= 2</x:v>
      </x:c>
      <x:c r="J20" s="33" t="n">
        <x:f>SUM($G$6:G20)</x:f>
        <x:v>1128</x:v>
      </x:c>
      <x:c r="K20" s="44" t="str"/>
    </x:row>
    <x:row r="21" ht="23" customHeight="1">
      <x:c r="A21" s="41" t="n">
        <x:v>16</x:v>
      </x:c>
      <x:c r="B21" s="34" t="str">
        <x:v>EXTENDED · Z2</x:v>
      </x:c>
      <x:c r="C21" s="34" t="str">
        <x:v>Purchase a defender boat</x:v>
      </x:c>
      <x:c r="D21" s="35" t="n">
        <x:v>2200</x:v>
      </x:c>
      <x:c r="E21" s="35" t="n">
        <x:v>0</x:v>
      </x:c>
      <x:c r="F21" s="34" t="n">
        <x:v>20</x:v>
      </x:c>
      <x:c r="G21" s="35" t="n">
        <x:v>350</x:v>
      </x:c>
      <x:c r="H21" s="35" t="n">
        <x:v>0</x:v>
      </x:c>
      <x:c r="I21" s="34" t="str">
        <x:v>defender_ready &gt;= 1</x:v>
      </x:c>
      <x:c r="J21" s="35" t="n">
        <x:f>SUM($G$6:G21)</x:f>
        <x:v>1478</x:v>
      </x:c>
      <x:c r="K21" s="45" t="str"/>
    </x:row>
    <x:row r="22" ht="23" customHeight="1">
      <x:c r="A22" s="41" t="n">
        <x:v>17</x:v>
      </x:c>
      <x:c r="B22" s="34" t="str">
        <x:v>EXTENDED · Z2</x:v>
      </x:c>
      <x:c r="C22" s="34" t="str">
        <x:v>Defeat two pirates</x:v>
      </x:c>
      <x:c r="D22" s="35" t="n">
        <x:v>0</x:v>
      </x:c>
      <x:c r="E22" s="35" t="n">
        <x:v>0</x:v>
      </x:c>
      <x:c r="F22" s="34" t="n">
        <x:v>0</x:v>
      </x:c>
      <x:c r="G22" s="35" t="n">
        <x:v>200</x:v>
      </x:c>
      <x:c r="H22" s="35" t="n">
        <x:v>0</x:v>
      </x:c>
      <x:c r="I22" s="34" t="str">
        <x:v>pirates_killed &gt;= 2</x:v>
      </x:c>
      <x:c r="J22" s="35" t="n">
        <x:f>SUM($G$6:G22)</x:f>
        <x:v>1678</x:v>
      </x:c>
      <x:c r="K22" s="45" t="str"/>
    </x:row>
    <x:row r="23" ht="23" customHeight="1">
      <x:c r="A23" s="41" t="n">
        <x:v>18</x:v>
      </x:c>
      <x:c r="B23" s="34" t="str">
        <x:v>EXTENDED · Z2</x:v>
      </x:c>
      <x:c r="C23" s="34" t="str">
        <x:v>Unlock the lobster fishing ground</x:v>
      </x:c>
      <x:c r="D23" s="35" t="n">
        <x:v>2200</x:v>
      </x:c>
      <x:c r="E23" s="35" t="n">
        <x:v>0</x:v>
      </x:c>
      <x:c r="F23" s="34" t="n">
        <x:v>35</x:v>
      </x:c>
      <x:c r="G23" s="35" t="n">
        <x:v>450</x:v>
      </x:c>
      <x:c r="H23" s="35" t="n">
        <x:v>0</x:v>
      </x:c>
      <x:c r="I23" s="34" t="str">
        <x:v>resource_ready(lobster) = unlocked</x:v>
      </x:c>
      <x:c r="J23" s="35" t="n">
        <x:f>SUM($G$6:G23)</x:f>
        <x:v>2128</x:v>
      </x:c>
      <x:c r="K23" s="45" t="str"/>
    </x:row>
    <x:row r="24" ht="23" customHeight="1">
      <x:c r="A24" s="41" t="n">
        <x:v>19</x:v>
      </x:c>
      <x:c r="B24" s="34" t="str">
        <x:v>EXTENDED · Z2</x:v>
      </x:c>
      <x:c r="C24" s="34" t="str">
        <x:v>Expand the regular fleet to 5 boats</x:v>
      </x:c>
      <x:c r="D24" s="35" t="n">
        <x:v>1600</x:v>
      </x:c>
      <x:c r="E24" s="35" t="n">
        <x:v>0</x:v>
      </x:c>
      <x:c r="F24" s="34" t="str">
        <x:v>15+22</x:v>
      </x:c>
      <x:c r="G24" s="35" t="n">
        <x:v>500</x:v>
      </x:c>
      <x:c r="H24" s="35" t="n">
        <x:v>0</x:v>
      </x:c>
      <x:c r="I24" s="34" t="str">
        <x:v>normal_workers &gt;= 5</x:v>
      </x:c>
      <x:c r="J24" s="35" t="n">
        <x:f>SUM($G$6:G24)</x:f>
        <x:v>2628</x:v>
      </x:c>
      <x:c r="K24" s="45" t="str">
        <x:v>Compound cost/timer: multiple sequential upgrades.</x:v>
      </x:c>
    </x:row>
    <x:row r="25" ht="23" customHeight="1">
      <x:c r="A25" s="41" t="n">
        <x:v>20</x:v>
      </x:c>
      <x:c r="B25" s="34" t="str">
        <x:v>EXTENDED · Z2</x:v>
      </x:c>
      <x:c r="C25" s="34" t="str">
        <x:v>Upgrade cargo hold to Lv.4</x:v>
      </x:c>
      <x:c r="D25" s="35" t="n">
        <x:v>1725</x:v>
      </x:c>
      <x:c r="E25" s="35" t="n">
        <x:v>0</x:v>
      </x:c>
      <x:c r="F25" s="34" t="str">
        <x:v>6+12</x:v>
      </x:c>
      <x:c r="G25" s="35" t="n">
        <x:v>450</x:v>
      </x:c>
      <x:c r="H25" s="35" t="n">
        <x:v>0</x:v>
      </x:c>
      <x:c r="I25" s="34" t="str">
        <x:v>cargo_level &gt;= 4</x:v>
      </x:c>
      <x:c r="J25" s="35" t="n">
        <x:f>SUM($G$6:G25)</x:f>
        <x:v>3078</x:v>
      </x:c>
      <x:c r="K25" s="45" t="str">
        <x:v>Compound cost/timer: multiple sequential upgrades.</x:v>
      </x:c>
    </x:row>
    <x:row r="26" ht="23" customHeight="1">
      <x:c r="A26" s="41" t="n">
        <x:v>21</x:v>
      </x:c>
      <x:c r="B26" s="34" t="str">
        <x:v>EXTENDED · Z2</x:v>
      </x:c>
      <x:c r="C26" s="34" t="str">
        <x:v>Build the metal storage</x:v>
      </x:c>
      <x:c r="D26" s="35" t="n">
        <x:v>2400</x:v>
      </x:c>
      <x:c r="E26" s="35" t="n">
        <x:v>0</x:v>
      </x:c>
      <x:c r="F26" s="34" t="n">
        <x:v>25</x:v>
      </x:c>
      <x:c r="G26" s="35" t="n">
        <x:v>500</x:v>
      </x:c>
      <x:c r="H26" s="35" t="n">
        <x:v>0</x:v>
      </x:c>
      <x:c r="I26" s="34" t="str">
        <x:v>metal_storage_ready &gt;= 1</x:v>
      </x:c>
      <x:c r="J26" s="35" t="n">
        <x:f>SUM($G$6:G26)</x:f>
        <x:v>3578</x:v>
      </x:c>
      <x:c r="K26" s="45" t="str"/>
    </x:row>
    <x:row r="27" ht="23" customHeight="1">
      <x:c r="A27" s="41" t="n">
        <x:v>22</x:v>
      </x:c>
      <x:c r="B27" s="34" t="str">
        <x:v>EXTENDED · Z2</x:v>
      </x:c>
      <x:c r="C27" s="34" t="str">
        <x:v>Purchase metal-cutting equipment</x:v>
      </x:c>
      <x:c r="D27" s="35" t="n">
        <x:v>1500</x:v>
      </x:c>
      <x:c r="E27" s="35" t="n">
        <x:v>0</x:v>
      </x:c>
      <x:c r="F27" s="34" t="n">
        <x:v>0</x:v>
      </x:c>
      <x:c r="G27" s="35" t="n">
        <x:v>300</x:v>
      </x:c>
      <x:c r="H27" s="35" t="n">
        <x:v>0</x:v>
      </x:c>
      <x:c r="I27" s="34" t="str">
        <x:v>metal_cutter_owned &gt;= 1</x:v>
      </x:c>
      <x:c r="J27" s="35" t="n">
        <x:f>SUM($G$6:G27)</x:f>
        <x:v>3878</x:v>
      </x:c>
      <x:c r="K27" s="45" t="str"/>
    </x:row>
    <x:row r="28" ht="23" customHeight="1">
      <x:c r="A28" s="41" t="n">
        <x:v>23</x:v>
      </x:c>
      <x:c r="B28" s="34" t="str">
        <x:v>EXTENDED · Z2</x:v>
      </x:c>
      <x:c r="C28" s="34" t="str">
        <x:v>Unlock the shipwreck salvage site</x:v>
      </x:c>
      <x:c r="D28" s="35" t="n">
        <x:v>1800</x:v>
      </x:c>
      <x:c r="E28" s="35" t="n">
        <x:v>0</x:v>
      </x:c>
      <x:c r="F28" s="34" t="n">
        <x:v>20</x:v>
      </x:c>
      <x:c r="G28" s="35" t="n">
        <x:v>550</x:v>
      </x:c>
      <x:c r="H28" s="35" t="n">
        <x:v>0</x:v>
      </x:c>
      <x:c r="I28" s="34" t="str">
        <x:v>wreck_ready &gt;= 1</x:v>
      </x:c>
      <x:c r="J28" s="35" t="n">
        <x:f>SUM($G$6:G28)</x:f>
        <x:v>4428</x:v>
      </x:c>
      <x:c r="K28" s="45" t="str"/>
    </x:row>
    <x:row r="29" ht="23" customHeight="1">
      <x:c r="A29" s="41" t="n">
        <x:v>24</x:v>
      </x:c>
      <x:c r="B29" s="34" t="str">
        <x:v>EXTENDED · Z2</x:v>
      </x:c>
      <x:c r="C29" s="34" t="str">
        <x:v>Deliver 10 units of metal</x:v>
      </x:c>
      <x:c r="D29" s="35" t="n">
        <x:v>0</x:v>
      </x:c>
      <x:c r="E29" s="35" t="n">
        <x:v>0</x:v>
      </x:c>
      <x:c r="F29" s="34" t="n">
        <x:v>0</x:v>
      </x:c>
      <x:c r="G29" s="35" t="n">
        <x:v>300</x:v>
      </x:c>
      <x:c r="H29" s="35" t="n">
        <x:v>0</x:v>
      </x:c>
      <x:c r="I29" s="34" t="str">
        <x:v>metal_deposited &gt;= 10</x:v>
      </x:c>
      <x:c r="J29" s="35" t="n">
        <x:f>SUM($G$6:G29)</x:f>
        <x:v>4728</x:v>
      </x:c>
      <x:c r="K29" s="45" t="str"/>
    </x:row>
    <x:row r="30" ht="23" customHeight="1">
      <x:c r="A30" s="41" t="n">
        <x:v>25</x:v>
      </x:c>
      <x:c r="B30" s="34" t="str">
        <x:v>EXTENDED · Z2</x:v>
      </x:c>
      <x:c r="C30" s="34" t="str">
        <x:v>Hire the first salvage vessel</x:v>
      </x:c>
      <x:c r="D30" s="35" t="n">
        <x:v>3000</x:v>
      </x:c>
      <x:c r="E30" s="35" t="n">
        <x:v>0</x:v>
      </x:c>
      <x:c r="F30" s="34" t="n">
        <x:v>30</x:v>
      </x:c>
      <x:c r="G30" s="35" t="n">
        <x:v>600</x:v>
      </x:c>
      <x:c r="H30" s="35" t="n">
        <x:v>0</x:v>
      </x:c>
      <x:c r="I30" s="34" t="str">
        <x:v>salvage_workers &gt;= 1</x:v>
      </x:c>
      <x:c r="J30" s="35" t="n">
        <x:f>SUM($G$6:G30)</x:f>
        <x:v>5328</x:v>
      </x:c>
      <x:c r="K30" s="45" t="str"/>
    </x:row>
    <x:row r="31" ht="23" customHeight="1">
      <x:c r="A31" s="41" t="n">
        <x:v>26</x:v>
      </x:c>
      <x:c r="B31" s="34" t="str">
        <x:v>EXTENDED · Z2</x:v>
      </x:c>
      <x:c r="C31" s="34" t="str">
        <x:v>Deliver 50 units of metal</x:v>
      </x:c>
      <x:c r="D31" s="35" t="n">
        <x:v>0</x:v>
      </x:c>
      <x:c r="E31" s="35" t="n">
        <x:v>0</x:v>
      </x:c>
      <x:c r="F31" s="34" t="n">
        <x:v>0</x:v>
      </x:c>
      <x:c r="G31" s="35" t="n">
        <x:v>300</x:v>
      </x:c>
      <x:c r="H31" s="35" t="n">
        <x:v>0</x:v>
      </x:c>
      <x:c r="I31" s="34" t="str">
        <x:v>metal_deposited &gt;= 50</x:v>
      </x:c>
      <x:c r="J31" s="35" t="n">
        <x:f>SUM($G$6:G31)</x:f>
        <x:v>5628</x:v>
      </x:c>
      <x:c r="K31" s="45" t="str">
        <x:v>Optional second port unlocks after Q26 reward; not a quest.</x:v>
      </x:c>
    </x:row>
    <x:row r="32" ht="23" customHeight="1">
      <x:c r="A32" s="41" t="n">
        <x:v>27</x:v>
      </x:c>
      <x:c r="B32" s="34" t="str">
        <x:v>EXTENDED · Z2</x:v>
      </x:c>
      <x:c r="C32" s="34" t="str">
        <x:v>Unlock the swordfish fishing ground</x:v>
      </x:c>
      <x:c r="D32" s="35" t="n">
        <x:v>3900</x:v>
      </x:c>
      <x:c r="E32" s="35" t="n">
        <x:v>0</x:v>
      </x:c>
      <x:c r="F32" s="34" t="n">
        <x:v>45</x:v>
      </x:c>
      <x:c r="G32" s="35" t="n">
        <x:v>650</x:v>
      </x:c>
      <x:c r="H32" s="35" t="n">
        <x:v>0</x:v>
      </x:c>
      <x:c r="I32" s="34" t="str">
        <x:v>resource_ready(swordfish) = unlocked</x:v>
      </x:c>
      <x:c r="J32" s="35" t="n">
        <x:f>SUM($G$6:G32)</x:f>
        <x:v>6278</x:v>
      </x:c>
      <x:c r="K32" s="45" t="str"/>
    </x:row>
    <x:row r="33" ht="23" customHeight="1">
      <x:c r="A33" s="41" t="n">
        <x:v>28</x:v>
      </x:c>
      <x:c r="B33" s="34" t="str">
        <x:v>EXTENDED · Z2</x:v>
      </x:c>
      <x:c r="C33" s="34" t="str">
        <x:v>Expand the regular fleet to 7 boats</x:v>
      </x:c>
      <x:c r="D33" s="35" t="n">
        <x:v>3000</x:v>
      </x:c>
      <x:c r="E33" s="35" t="n">
        <x:v>0</x:v>
      </x:c>
      <x:c r="F33" s="34" t="str">
        <x:v>37+75</x:v>
      </x:c>
      <x:c r="G33" s="35" t="n">
        <x:v>600</x:v>
      </x:c>
      <x:c r="H33" s="35" t="n">
        <x:v>0</x:v>
      </x:c>
      <x:c r="I33" s="34" t="str">
        <x:v>normal_workers &gt;= 7</x:v>
      </x:c>
      <x:c r="J33" s="35" t="n">
        <x:f>SUM($G$6:G33)</x:f>
        <x:v>6878</x:v>
      </x:c>
      <x:c r="K33" s="45" t="str">
        <x:v>Compound cost/timer: multiple sequential upgrades.</x:v>
      </x:c>
    </x:row>
    <x:row r="34" ht="23" customHeight="1">
      <x:c r="A34" s="41" t="n">
        <x:v>29</x:v>
      </x:c>
      <x:c r="B34" s="34" t="str">
        <x:v>EXTENDED · Z2</x:v>
      </x:c>
      <x:c r="C34" s="34" t="str">
        <x:v>Upgrade cargo hold to Lv.6</x:v>
      </x:c>
      <x:c r="D34" s="35" t="n">
        <x:v>3600</x:v>
      </x:c>
      <x:c r="E34" s="35" t="n">
        <x:v>0</x:v>
      </x:c>
      <x:c r="F34" s="34" t="str">
        <x:v>24+60</x:v>
      </x:c>
      <x:c r="G34" s="35" t="n">
        <x:v>600</x:v>
      </x:c>
      <x:c r="H34" s="35" t="n">
        <x:v>0</x:v>
      </x:c>
      <x:c r="I34" s="34" t="str">
        <x:v>cargo_level &gt;= 6</x:v>
      </x:c>
      <x:c r="J34" s="35" t="n">
        <x:f>SUM($G$6:G34)</x:f>
        <x:v>7478</x:v>
      </x:c>
      <x:c r="K34" s="45" t="str">
        <x:v>Compound cost/timer: multiple sequential upgrades.</x:v>
      </x:c>
    </x:row>
    <x:row r="35" ht="23" customHeight="1">
      <x:c r="A35" s="41" t="n">
        <x:v>30</x:v>
      </x:c>
      <x:c r="B35" s="34" t="str">
        <x:v>EXTENDED · Z2</x:v>
      </x:c>
      <x:c r="C35" s="34" t="str">
        <x:v>Upgrade metal storage capacity to 150</x:v>
      </x:c>
      <x:c r="D35" s="35" t="n">
        <x:v>3400</x:v>
      </x:c>
      <x:c r="E35" s="35" t="n">
        <x:v>30</x:v>
      </x:c>
      <x:c r="F35" s="34" t="n">
        <x:v>40</x:v>
      </x:c>
      <x:c r="G35" s="35" t="n">
        <x:v>600</x:v>
      </x:c>
      <x:c r="H35" s="35" t="n">
        <x:v>0</x:v>
      </x:c>
      <x:c r="I35" s="34" t="str">
        <x:v>metal_storage_capacity &gt;= 150</x:v>
      </x:c>
      <x:c r="J35" s="35" t="n">
        <x:f>SUM($G$6:G35)</x:f>
        <x:v>8078</x:v>
      </x:c>
      <x:c r="K35" s="45" t="str"/>
    </x:row>
    <x:row r="36" ht="23" customHeight="1">
      <x:c r="A36" s="41" t="n">
        <x:v>31</x:v>
      </x:c>
      <x:c r="B36" s="34" t="str">
        <x:v>EXTENDED · Z2</x:v>
      </x:c>
      <x:c r="C36" s="34" t="str">
        <x:v>Eliminate the pirate hideout</x:v>
      </x:c>
      <x:c r="D36" s="35" t="n">
        <x:v>5400</x:v>
      </x:c>
      <x:c r="E36" s="35" t="n">
        <x:v>50</x:v>
      </x:c>
      <x:c r="F36" s="34" t="n">
        <x:v>45</x:v>
      </x:c>
      <x:c r="G36" s="35" t="n">
        <x:v>500</x:v>
      </x:c>
      <x:c r="H36" s="35" t="n">
        <x:v>0</x:v>
      </x:c>
      <x:c r="I36" s="34" t="str">
        <x:v>pirate_den_closed &gt;= 1</x:v>
      </x:c>
      <x:c r="J36" s="35" t="n">
        <x:f>SUM($G$6:G36)</x:f>
        <x:v>8578</x:v>
      </x:c>
      <x:c r="K36" s="45" t="str"/>
    </x:row>
    <x:row r="37" ht="23" customHeight="1">
      <x:c r="A37" s="41" t="n">
        <x:v>32</x:v>
      </x:c>
      <x:c r="B37" s="34" t="str">
        <x:v>EXTENDED · Z2</x:v>
      </x:c>
      <x:c r="C37" s="34" t="str">
        <x:v>Unlock the rare squid fishing ground</x:v>
      </x:c>
      <x:c r="D37" s="35" t="n">
        <x:v>5400</x:v>
      </x:c>
      <x:c r="E37" s="35" t="n">
        <x:v>0</x:v>
      </x:c>
      <x:c r="F37" s="34" t="n">
        <x:v>50</x:v>
      </x:c>
      <x:c r="G37" s="35" t="n">
        <x:v>800</x:v>
      </x:c>
      <x:c r="H37" s="35" t="n">
        <x:v>0</x:v>
      </x:c>
      <x:c r="I37" s="34" t="str">
        <x:v>resource_ready(squid) = unlocked</x:v>
      </x:c>
      <x:c r="J37" s="35" t="n">
        <x:f>SUM($G$6:G37)</x:f>
        <x:v>9378</x:v>
      </x:c>
      <x:c r="K37" s="45" t="str"/>
    </x:row>
    <x:row r="38" ht="23" customHeight="1">
      <x:c r="A38" s="41" t="n">
        <x:v>33</x:v>
      </x:c>
      <x:c r="B38" s="34" t="str">
        <x:v>EXTENDED · Z2</x:v>
      </x:c>
      <x:c r="C38" s="34" t="str">
        <x:v>Hire a second salvage vessel</x:v>
      </x:c>
      <x:c r="D38" s="35" t="n">
        <x:v>4500</x:v>
      </x:c>
      <x:c r="E38" s="35" t="n">
        <x:v>0</x:v>
      </x:c>
      <x:c r="F38" s="34" t="n">
        <x:v>30</x:v>
      </x:c>
      <x:c r="G38" s="35" t="n">
        <x:v>550</x:v>
      </x:c>
      <x:c r="H38" s="35" t="n">
        <x:v>0</x:v>
      </x:c>
      <x:c r="I38" s="34" t="str">
        <x:v>salvage_workers &gt;= 2</x:v>
      </x:c>
      <x:c r="J38" s="35" t="n">
        <x:f>SUM($G$6:G38)</x:f>
        <x:v>9928</x:v>
      </x:c>
      <x:c r="K38" s="45" t="str"/>
    </x:row>
    <x:row r="39" ht="23" customHeight="1">
      <x:c r="A39" s="41" t="n">
        <x:v>34</x:v>
      </x:c>
      <x:c r="B39" s="34" t="str">
        <x:v>EXTENDED · Z2</x:v>
      </x:c>
      <x:c r="C39" s="34" t="str">
        <x:v>Open a distant sea route</x:v>
      </x:c>
      <x:c r="D39" s="35" t="n">
        <x:v>7400</x:v>
      </x:c>
      <x:c r="E39" s="35" t="n">
        <x:v>80</x:v>
      </x:c>
      <x:c r="F39" s="34" t="n">
        <x:v>60</x:v>
      </x:c>
      <x:c r="G39" s="35" t="n">
        <x:v>1000</x:v>
      </x:c>
      <x:c r="H39" s="35" t="n">
        <x:v>0</x:v>
      </x:c>
      <x:c r="I39" s="34" t="str">
        <x:v>expedition_route_ready &gt;= 1</x:v>
      </x:c>
      <x:c r="J39" s="35" t="n">
        <x:f>SUM($G$6:G39)</x:f>
        <x:v>10928</x:v>
      </x:c>
      <x:c r="K39" s="45" t="str"/>
    </x:row>
  </x:sheetData>
  <x:mergeCells>
    <x:mergeCell ref="A1:K1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9" hidden="0" customWidth="1"/>
    <x:col min="3" max="3" width="45" hidden="0" customWidth="1"/>
    <x:col min="4" max="4" width="16" hidden="0" customWidth="1"/>
    <x:col min="5" max="5" width="15" hidden="0" customWidth="1"/>
    <x:col min="6" max="6" width="19" hidden="0" customWidth="1"/>
    <x:col min="7" max="7" width="17" hidden="0" customWidth="1"/>
    <x:col min="8" max="8" width="16" hidden="0" customWidth="1"/>
    <x:col min="9" max="9" width="39" hidden="0" customWidth="1"/>
    <x:col min="10" max="10" width="28" hidden="0" customWidth="1"/>
    <x:col min="11" max="11" width="52" hidden="0" customWidth="1"/>
  </x:cols>
  <x:sheetData>
    <x:row r="1" ht="32" customHeight="1">
      <x:c r="A1" s="3" t="str">
        <x:v>QUIET COVE  /  REFERENCE QUESTS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24" customHeight="1">
      <x:c r="A3" s="6" t="str">
        <x:v>34 sequential quests  •  Q1–15: core experience  •  Q16–34: extended content  •  costs are per objective, not cumulative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30" customHeight="1">
      <x:c r="A5" s="11" t="str">
        <x:v>#</x:v>
      </x:c>
      <x:c r="B5" s="11" t="str">
        <x:v>SECTION</x:v>
      </x:c>
      <x:c r="C5" s="11" t="str">
        <x:v>QUEST / OBJECTIVE</x:v>
      </x:c>
      <x:c r="D5" s="11" t="str">
        <x:v>COST COINS</x:v>
      </x:c>
      <x:c r="E5" s="11" t="str">
        <x:v>COST METAL</x:v>
      </x:c>
      <x:c r="F5" s="11" t="str">
        <x:v>BUILD TIMER (s)</x:v>
      </x:c>
      <x:c r="G5" s="11" t="str">
        <x:v>REWARD COINS</x:v>
      </x:c>
      <x:c r="H5" s="11" t="str">
        <x:v>REWARD METAL</x:v>
      </x:c>
      <x:c r="I5" s="11" t="str">
        <x:v>COMPLETION RULE</x:v>
      </x:c>
      <x:c r="J5" s="11" t="str">
        <x:v>CUMULATIVE QUEST REWARDS</x:v>
      </x:c>
      <x:c r="K5" s="11" t="str">
        <x:v>NOTES</x:v>
      </x:c>
    </x:row>
    <x:row r="6" ht="23" customHeight="1">
      <x:c r="A6" s="40" t="n">
        <x:v>1</x:v>
      </x:c>
      <x:c r="B6" s="32" t="str">
        <x:v>CORE · Z1</x:v>
      </x:c>
      <x:c r="C6" s="32" t="str">
        <x:v>Catch your first sardine</x:v>
      </x:c>
      <x:c r="D6" s="33" t="n">
        <x:v>0</x:v>
      </x:c>
      <x:c r="E6" s="33" t="n">
        <x:v>0</x:v>
      </x:c>
      <x:c r="F6" s="32" t="n">
        <x:v>0</x:v>
      </x:c>
      <x:c r="G6" s="33" t="n">
        <x:v>12</x:v>
      </x:c>
      <x:c r="H6" s="33" t="n">
        <x:v>0</x:v>
      </x:c>
      <x:c r="I6" s="32" t="str">
        <x:v>catch_sardine &gt;= 1</x:v>
      </x:c>
      <x:c r="J6" s="33" t="n">
        <x:f>SUM($G$6:G6)</x:f>
        <x:v>12</x:v>
      </x:c>
      <x:c r="K6" s="44" t="str"/>
    </x:row>
    <x:row r="7" ht="23" customHeight="1">
      <x:c r="A7" s="40" t="n">
        <x:v>2</x:v>
      </x:c>
      <x:c r="B7" s="32" t="str">
        <x:v>CORE · Z1</x:v>
      </x:c>
      <x:c r="C7" s="32" t="str">
        <x:v>Deliver fish to the harbor</x:v>
      </x:c>
      <x:c r="D7" s="33" t="n">
        <x:v>0</x:v>
      </x:c>
      <x:c r="E7" s="33" t="n">
        <x:v>0</x:v>
      </x:c>
      <x:c r="F7" s="32" t="n">
        <x:v>0</x:v>
      </x:c>
      <x:c r="G7" s="33" t="n">
        <x:v>18</x:v>
      </x:c>
      <x:c r="H7" s="33" t="n">
        <x:v>0</x:v>
      </x:c>
      <x:c r="I7" s="32" t="str">
        <x:v>deliver_fish &gt;= 1</x:v>
      </x:c>
      <x:c r="J7" s="33" t="n">
        <x:f>SUM($G$6:G7)</x:f>
        <x:v>30</x:v>
      </x:c>
      <x:c r="K7" s="44" t="str"/>
    </x:row>
    <x:row r="8" ht="23" customHeight="1">
      <x:c r="A8" s="40" t="n">
        <x:v>3</x:v>
      </x:c>
      <x:c r="B8" s="32" t="str">
        <x:v>CORE · Z1</x:v>
      </x:c>
      <x:c r="C8" s="32" t="str">
        <x:v>Collect 3 crates in total</x:v>
      </x:c>
      <x:c r="D8" s="33" t="n">
        <x:v>0</x:v>
      </x:c>
      <x:c r="E8" s="33" t="n">
        <x:v>0</x:v>
      </x:c>
      <x:c r="F8" s="32" t="n">
        <x:v>0</x:v>
      </x:c>
      <x:c r="G8" s="33" t="n">
        <x:v>24</x:v>
      </x:c>
      <x:c r="H8" s="33" t="n">
        <x:v>0</x:v>
      </x:c>
      <x:c r="I8" s="32" t="str">
        <x:v>catch_total &gt;= 3</x:v>
      </x:c>
      <x:c r="J8" s="33" t="n">
        <x:f>SUM($G$6:G8)</x:f>
        <x:v>54</x:v>
      </x:c>
      <x:c r="K8" s="44" t="str"/>
    </x:row>
    <x:row r="9" ht="23" customHeight="1">
      <x:c r="A9" s="40" t="n">
        <x:v>4</x:v>
      </x:c>
      <x:c r="B9" s="32" t="str">
        <x:v>CORE · Z1</x:v>
      </x:c>
      <x:c r="C9" s="32" t="str">
        <x:v>Upgrade cargo hold to Lv.1</x:v>
      </x:c>
      <x:c r="D9" s="33" t="n">
        <x:v>20</x:v>
      </x:c>
      <x:c r="E9" s="33" t="n">
        <x:v>0</x:v>
      </x:c>
      <x:c r="F9" s="32" t="n">
        <x:v>5</x:v>
      </x:c>
      <x:c r="G9" s="33" t="n">
        <x:v>24</x:v>
      </x:c>
      <x:c r="H9" s="33" t="n">
        <x:v>0</x:v>
      </x:c>
      <x:c r="I9" s="32" t="str">
        <x:v>cargo_level &gt;= 1</x:v>
      </x:c>
      <x:c r="J9" s="33" t="n">
        <x:f>SUM($G$6:G9)</x:f>
        <x:v>78</x:v>
      </x:c>
      <x:c r="K9" s="44" t="str"/>
    </x:row>
    <x:row r="10" ht="23" customHeight="1">
      <x:c r="A10" s="40" t="n">
        <x:v>5</x:v>
      </x:c>
      <x:c r="B10" s="32" t="str">
        <x:v>CORE · Z1</x:v>
      </x:c>
      <x:c r="C10" s="32" t="str">
        <x:v>Unlock the crab fishing ground</x:v>
      </x:c>
      <x:c r="D10" s="33" t="n">
        <x:v>90</x:v>
      </x:c>
      <x:c r="E10" s="33" t="n">
        <x:v>0</x:v>
      </x:c>
      <x:c r="F10" s="32" t="n">
        <x:v>5</x:v>
      </x:c>
      <x:c r="G10" s="33" t="n">
        <x:v>35</x:v>
      </x:c>
      <x:c r="H10" s="33" t="n">
        <x:v>0</x:v>
      </x:c>
      <x:c r="I10" s="32" t="str">
        <x:v>resource_ready(crab) = unlocked</x:v>
      </x:c>
      <x:c r="J10" s="33" t="n">
        <x:f>SUM($G$6:G10)</x:f>
        <x:v>113</x:v>
      </x:c>
      <x:c r="K10" s="44" t="str"/>
    </x:row>
    <x:row r="11" ht="23" customHeight="1">
      <x:c r="A11" s="40" t="n">
        <x:v>6</x:v>
      </x:c>
      <x:c r="B11" s="32" t="str">
        <x:v>CORE · Z1</x:v>
      </x:c>
      <x:c r="C11" s="32" t="str">
        <x:v>Hire your first fishing boat</x:v>
      </x:c>
      <x:c r="D11" s="33" t="n">
        <x:v>100</x:v>
      </x:c>
      <x:c r="E11" s="33" t="n">
        <x:v>0</x:v>
      </x:c>
      <x:c r="F11" s="32" t="n">
        <x:v>5</x:v>
      </x:c>
      <x:c r="G11" s="33" t="n">
        <x:v>45</x:v>
      </x:c>
      <x:c r="H11" s="33" t="n">
        <x:v>0</x:v>
      </x:c>
      <x:c r="I11" s="32" t="str">
        <x:v>normal_workers &gt;= 1</x:v>
      </x:c>
      <x:c r="J11" s="33" t="n">
        <x:f>SUM($G$6:G11)</x:f>
        <x:v>158</x:v>
      </x:c>
      <x:c r="K11" s="44" t="str"/>
    </x:row>
    <x:row r="12" ht="23" customHeight="1">
      <x:c r="A12" s="40" t="n">
        <x:v>7</x:v>
      </x:c>
      <x:c r="B12" s="32" t="str">
        <x:v>CORE · Z1</x:v>
      </x:c>
      <x:c r="C12" s="32" t="str">
        <x:v>Upgrade cargo hold to Lv.2</x:v>
      </x:c>
      <x:c r="D12" s="33" t="n">
        <x:v>150</x:v>
      </x:c>
      <x:c r="E12" s="33" t="n">
        <x:v>0</x:v>
      </x:c>
      <x:c r="F12" s="32" t="n">
        <x:v>5</x:v>
      </x:c>
      <x:c r="G12" s="33" t="n">
        <x:v>60</x:v>
      </x:c>
      <x:c r="H12" s="33" t="n">
        <x:v>0</x:v>
      </x:c>
      <x:c r="I12" s="32" t="str">
        <x:v>cargo_level &gt;= 2</x:v>
      </x:c>
      <x:c r="J12" s="33" t="n">
        <x:f>SUM($G$6:G12)</x:f>
        <x:v>218</x:v>
      </x:c>
      <x:c r="K12" s="44" t="str"/>
    </x:row>
    <x:row r="13" ht="23" customHeight="1">
      <x:c r="A13" s="40" t="n">
        <x:v>8</x:v>
      </x:c>
      <x:c r="B13" s="32" t="str">
        <x:v>CORE · Z1</x:v>
      </x:c>
      <x:c r="C13" s="32" t="str">
        <x:v>Earn 200 coins</x:v>
      </x:c>
      <x:c r="D13" s="33" t="n">
        <x:v>0</x:v>
      </x:c>
      <x:c r="E13" s="33" t="n">
        <x:v>0</x:v>
      </x:c>
      <x:c r="F13" s="32" t="n">
        <x:v>0</x:v>
      </x:c>
      <x:c r="G13" s="33" t="n">
        <x:v>80</x:v>
      </x:c>
      <x:c r="H13" s="33" t="n">
        <x:v>0</x:v>
      </x:c>
      <x:c r="I13" s="32" t="str">
        <x:v>earn_coins &gt;= 200</x:v>
      </x:c>
      <x:c r="J13" s="33" t="n">
        <x:f>SUM($G$6:G13)</x:f>
        <x:v>298</x:v>
      </x:c>
      <x:c r="K13" s="44" t="str"/>
    </x:row>
    <x:row r="14" ht="23" customHeight="1">
      <x:c r="A14" s="40" t="n">
        <x:v>9</x:v>
      </x:c>
      <x:c r="B14" s="32" t="str">
        <x:v>CORE · Z1</x:v>
      </x:c>
      <x:c r="C14" s="32" t="str">
        <x:v>Order a speedboat</x:v>
      </x:c>
      <x:c r="D14" s="33" t="n">
        <x:v>300</x:v>
      </x:c>
      <x:c r="E14" s="33" t="n">
        <x:v>0</x:v>
      </x:c>
      <x:c r="F14" s="32" t="n">
        <x:v>30</x:v>
      </x:c>
      <x:c r="G14" s="33" t="n">
        <x:v>60</x:v>
      </x:c>
      <x:c r="H14" s="33" t="n">
        <x:v>0</x:v>
      </x:c>
      <x:c r="I14" s="32" t="str">
        <x:v>speedboat_ordered &gt;= 1</x:v>
      </x:c>
      <x:c r="J14" s="33" t="n">
        <x:f>SUM($G$6:G14)</x:f>
        <x:v>358</x:v>
      </x:c>
      <x:c r="K14" s="44" t="str"/>
    </x:row>
    <x:row r="15" ht="23" customHeight="1">
      <x:c r="A15" s="40" t="n">
        <x:v>10</x:v>
      </x:c>
      <x:c r="B15" s="32" t="str">
        <x:v>CORE · Z1</x:v>
      </x:c>
      <x:c r="C15" s="32" t="str">
        <x:v>Receive the speedboat</x:v>
      </x:c>
      <x:c r="D15" s="33" t="n">
        <x:v>0</x:v>
      </x:c>
      <x:c r="E15" s="33" t="n">
        <x:v>0</x:v>
      </x:c>
      <x:c r="F15" s="32" t="n">
        <x:v>30</x:v>
      </x:c>
      <x:c r="G15" s="33" t="n">
        <x:v>90</x:v>
      </x:c>
      <x:c r="H15" s="33" t="n">
        <x:v>0</x:v>
      </x:c>
      <x:c r="I15" s="32" t="str">
        <x:v>speedboat_ready &gt;= 1</x:v>
      </x:c>
      <x:c r="J15" s="33" t="n">
        <x:f>SUM($G$6:G15)</x:f>
        <x:v>448</x:v>
      </x:c>
      <x:c r="K15" s="44" t="str">
        <x:v>Same speedboat as Q9; no new payment.</x:v>
      </x:c>
    </x:row>
    <x:row r="16" ht="23" customHeight="1">
      <x:c r="A16" s="40" t="n">
        <x:v>11</x:v>
      </x:c>
      <x:c r="B16" s="32" t="str">
        <x:v>CORE · Z1</x:v>
      </x:c>
      <x:c r="C16" s="32" t="str">
        <x:v>Unlock the mussel bank</x:v>
      </x:c>
      <x:c r="D16" s="33" t="n">
        <x:v>700</x:v>
      </x:c>
      <x:c r="E16" s="33" t="n">
        <x:v>0</x:v>
      </x:c>
      <x:c r="F16" s="32" t="n">
        <x:v>180</x:v>
      </x:c>
      <x:c r="G16" s="33" t="n">
        <x:v>120</x:v>
      </x:c>
      <x:c r="H16" s="33" t="n">
        <x:v>0</x:v>
      </x:c>
      <x:c r="I16" s="32" t="str">
        <x:v>resource_ready(mussel) = unlocked</x:v>
      </x:c>
      <x:c r="J16" s="33" t="n">
        <x:f>SUM($G$6:G16)</x:f>
        <x:v>568</x:v>
      </x:c>
      <x:c r="K16" s="44" t="str"/>
    </x:row>
    <x:row r="17" ht="23" customHeight="1">
      <x:c r="A17" s="40" t="n">
        <x:v>12</x:v>
      </x:c>
      <x:c r="B17" s="32" t="str">
        <x:v>CORE · Z1</x:v>
      </x:c>
      <x:c r="C17" s="32" t="str">
        <x:v>Expand the regular fleet to 3 boats</x:v>
      </x:c>
      <x:c r="D17" s="33" t="n">
        <x:v>475</x:v>
      </x:c>
      <x:c r="E17" s="33" t="n">
        <x:v>0</x:v>
      </x:c>
      <x:c r="F17" s="32" t="str">
        <x:v>30+30</x:v>
      </x:c>
      <x:c r="G17" s="33" t="n">
        <x:v>180</x:v>
      </x:c>
      <x:c r="H17" s="33" t="n">
        <x:v>0</x:v>
      </x:c>
      <x:c r="I17" s="32" t="str">
        <x:v>normal_workers &gt;= 3</x:v>
      </x:c>
      <x:c r="J17" s="33" t="n">
        <x:f>SUM($G$6:G17)</x:f>
        <x:v>748</x:v>
      </x:c>
      <x:c r="K17" s="44" t="str">
        <x:v>Compound cost/timer: multiple sequential upgrades.</x:v>
      </x:c>
    </x:row>
    <x:row r="18" ht="23" customHeight="1">
      <x:c r="A18" s="40" t="n">
        <x:v>13</x:v>
      </x:c>
      <x:c r="B18" s="32" t="str">
        <x:v>CORE · Z1</x:v>
      </x:c>
      <x:c r="C18" s="32" t="str">
        <x:v>Unlock the red snapper fishing ground</x:v>
      </x:c>
      <x:c r="D18" s="33" t="n">
        <x:v>1600</x:v>
      </x:c>
      <x:c r="E18" s="33" t="n">
        <x:v>0</x:v>
      </x:c>
      <x:c r="F18" s="32" t="n">
        <x:v>300</x:v>
      </x:c>
      <x:c r="G18" s="33" t="n">
        <x:v>240</x:v>
      </x:c>
      <x:c r="H18" s="33" t="n">
        <x:v>0</x:v>
      </x:c>
      <x:c r="I18" s="32" t="str">
        <x:v>resource_ready(snapper) = unlocked</x:v>
      </x:c>
      <x:c r="J18" s="33" t="n">
        <x:f>SUM($G$6:G18)</x:f>
        <x:v>988</x:v>
      </x:c>
      <x:c r="K18" s="44" t="str"/>
    </x:row>
    <x:row r="19" ht="23" customHeight="1">
      <x:c r="A19" s="40" t="n">
        <x:v>14</x:v>
      </x:c>
      <x:c r="B19" s="32" t="str">
        <x:v>CORE · Z1</x:v>
      </x:c>
      <x:c r="C19" s="32" t="str">
        <x:v>Unlock the tuna shoal</x:v>
      </x:c>
      <x:c r="D19" s="33" t="n">
        <x:v>6000</x:v>
      </x:c>
      <x:c r="E19" s="33" t="n">
        <x:v>0</x:v>
      </x:c>
      <x:c r="F19" s="32" t="n">
        <x:v>600</x:v>
      </x:c>
      <x:c r="G19" s="33" t="n">
        <x:v>450</x:v>
      </x:c>
      <x:c r="H19" s="33" t="n">
        <x:v>0</x:v>
      </x:c>
      <x:c r="I19" s="32" t="str">
        <x:v>resource_ready(tuna) = unlocked</x:v>
      </x:c>
      <x:c r="J19" s="33" t="n">
        <x:f>SUM($G$6:G19)</x:f>
        <x:v>1438</x:v>
      </x:c>
      <x:c r="K19" s="44" t="str"/>
    </x:row>
    <x:row r="20" ht="23" customHeight="1">
      <x:c r="A20" s="40" t="n">
        <x:v>15</x:v>
      </x:c>
      <x:c r="B20" s="32" t="str">
        <x:v>CORE · Z1</x:v>
      </x:c>
      <x:c r="C20" s="32" t="str">
        <x:v>Open the route to the open sea</x:v>
      </x:c>
      <x:c r="D20" s="33" t="n">
        <x:v>12000</x:v>
      </x:c>
      <x:c r="E20" s="33" t="n">
        <x:v>0</x:v>
      </x:c>
      <x:c r="F20" s="32" t="n">
        <x:v>900</x:v>
      </x:c>
      <x:c r="G20" s="33" t="n">
        <x:v>700</x:v>
      </x:c>
      <x:c r="H20" s="33" t="n">
        <x:v>0</x:v>
      </x:c>
      <x:c r="I20" s="32" t="str">
        <x:v>area_unlocked &gt;= 2</x:v>
      </x:c>
      <x:c r="J20" s="33" t="n">
        <x:f>SUM($G$6:G20)</x:f>
        <x:v>2138</x:v>
      </x:c>
      <x:c r="K20" s="44" t="str"/>
    </x:row>
    <x:row r="21" ht="23" customHeight="1">
      <x:c r="A21" s="41" t="n">
        <x:v>16</x:v>
      </x:c>
      <x:c r="B21" s="34" t="str">
        <x:v>EXTENDED · Z2</x:v>
      </x:c>
      <x:c r="C21" s="34" t="str">
        <x:v>Purchase a defender boat</x:v>
      </x:c>
      <x:c r="D21" s="35" t="n">
        <x:v>12000</x:v>
      </x:c>
      <x:c r="E21" s="35" t="n">
        <x:v>0</x:v>
      </x:c>
      <x:c r="F21" s="34" t="n">
        <x:v>120</x:v>
      </x:c>
      <x:c r="G21" s="35" t="n">
        <x:v>1080</x:v>
      </x:c>
      <x:c r="H21" s="35" t="n">
        <x:v>0</x:v>
      </x:c>
      <x:c r="I21" s="34" t="str">
        <x:v>defender_ready &gt;= 1</x:v>
      </x:c>
      <x:c r="J21" s="35" t="n">
        <x:f>SUM($G$6:G21)</x:f>
        <x:v>3218</x:v>
      </x:c>
      <x:c r="K21" s="45" t="str"/>
    </x:row>
    <x:row r="22" ht="23" customHeight="1">
      <x:c r="A22" s="41" t="n">
        <x:v>17</x:v>
      </x:c>
      <x:c r="B22" s="34" t="str">
        <x:v>EXTENDED · Z2</x:v>
      </x:c>
      <x:c r="C22" s="34" t="str">
        <x:v>Defeat two pirates</x:v>
      </x:c>
      <x:c r="D22" s="35" t="n">
        <x:v>0</x:v>
      </x:c>
      <x:c r="E22" s="35" t="n">
        <x:v>0</x:v>
      </x:c>
      <x:c r="F22" s="34" t="n">
        <x:v>0</x:v>
      </x:c>
      <x:c r="G22" s="35" t="n">
        <x:v>1350</x:v>
      </x:c>
      <x:c r="H22" s="35" t="n">
        <x:v>0</x:v>
      </x:c>
      <x:c r="I22" s="34" t="str">
        <x:v>pirates_killed &gt;= 2</x:v>
      </x:c>
      <x:c r="J22" s="35" t="n">
        <x:f>SUM($G$6:G22)</x:f>
        <x:v>4568</x:v>
      </x:c>
      <x:c r="K22" s="45" t="str"/>
    </x:row>
    <x:row r="23" ht="23" customHeight="1">
      <x:c r="A23" s="41" t="n">
        <x:v>18</x:v>
      </x:c>
      <x:c r="B23" s="34" t="str">
        <x:v>EXTENDED · Z2</x:v>
      </x:c>
      <x:c r="C23" s="34" t="str">
        <x:v>Unlock the lobster fishing ground</x:v>
      </x:c>
      <x:c r="D23" s="35" t="n">
        <x:v>8000</x:v>
      </x:c>
      <x:c r="E23" s="35" t="n">
        <x:v>0</x:v>
      </x:c>
      <x:c r="F23" s="34" t="n">
        <x:v>900</x:v>
      </x:c>
      <x:c r="G23" s="35" t="n">
        <x:v>1620</x:v>
      </x:c>
      <x:c r="H23" s="35" t="n">
        <x:v>0</x:v>
      </x:c>
      <x:c r="I23" s="34" t="str">
        <x:v>resource_ready(lobster) = unlocked</x:v>
      </x:c>
      <x:c r="J23" s="35" t="n">
        <x:f>SUM($G$6:G23)</x:f>
        <x:v>6188</x:v>
      </x:c>
      <x:c r="K23" s="45" t="str"/>
    </x:row>
    <x:row r="24" ht="23" customHeight="1">
      <x:c r="A24" s="41" t="n">
        <x:v>19</x:v>
      </x:c>
      <x:c r="B24" s="34" t="str">
        <x:v>EXTENDED · Z2</x:v>
      </x:c>
      <x:c r="C24" s="34" t="str">
        <x:v>Expand the regular fleet to 5 boats</x:v>
      </x:c>
      <x:c r="D24" s="35" t="n">
        <x:v>1500</x:v>
      </x:c>
      <x:c r="E24" s="35" t="n">
        <x:v>0</x:v>
      </x:c>
      <x:c r="F24" s="34" t="str">
        <x:v>60+90</x:v>
      </x:c>
      <x:c r="G24" s="35" t="n">
        <x:v>1890</x:v>
      </x:c>
      <x:c r="H24" s="35" t="n">
        <x:v>0</x:v>
      </x:c>
      <x:c r="I24" s="34" t="str">
        <x:v>normal_workers &gt;= 5</x:v>
      </x:c>
      <x:c r="J24" s="35" t="n">
        <x:f>SUM($G$6:G24)</x:f>
        <x:v>8078</x:v>
      </x:c>
      <x:c r="K24" s="45" t="str">
        <x:v>Compound cost/timer: multiple sequential upgrades.</x:v>
      </x:c>
    </x:row>
    <x:row r="25" ht="23" customHeight="1">
      <x:c r="A25" s="41" t="n">
        <x:v>20</x:v>
      </x:c>
      <x:c r="B25" s="34" t="str">
        <x:v>EXTENDED · Z2</x:v>
      </x:c>
      <x:c r="C25" s="34" t="str">
        <x:v>Upgrade cargo hold to Lv.4</x:v>
      </x:c>
      <x:c r="D25" s="35" t="n">
        <x:v>1500</x:v>
      </x:c>
      <x:c r="E25" s="35" t="n">
        <x:v>0</x:v>
      </x:c>
      <x:c r="F25" s="34" t="str">
        <x:v>30+60</x:v>
      </x:c>
      <x:c r="G25" s="35" t="n">
        <x:v>2160</x:v>
      </x:c>
      <x:c r="H25" s="35" t="n">
        <x:v>0</x:v>
      </x:c>
      <x:c r="I25" s="34" t="str">
        <x:v>cargo_level &gt;= 4</x:v>
      </x:c>
      <x:c r="J25" s="35" t="n">
        <x:f>SUM($G$6:G25)</x:f>
        <x:v>10238</x:v>
      </x:c>
      <x:c r="K25" s="45" t="str">
        <x:v>Compound cost/timer: multiple sequential upgrades.</x:v>
      </x:c>
    </x:row>
    <x:row r="26" ht="23" customHeight="1">
      <x:c r="A26" s="41" t="n">
        <x:v>21</x:v>
      </x:c>
      <x:c r="B26" s="34" t="str">
        <x:v>EXTENDED · Z2</x:v>
      </x:c>
      <x:c r="C26" s="34" t="str">
        <x:v>Build the metal storage</x:v>
      </x:c>
      <x:c r="D26" s="35" t="n">
        <x:v>14000</x:v>
      </x:c>
      <x:c r="E26" s="35" t="n">
        <x:v>0</x:v>
      </x:c>
      <x:c r="F26" s="34" t="n">
        <x:v>120</x:v>
      </x:c>
      <x:c r="G26" s="35" t="n">
        <x:v>2430</x:v>
      </x:c>
      <x:c r="H26" s="35" t="n">
        <x:v>0</x:v>
      </x:c>
      <x:c r="I26" s="34" t="str">
        <x:v>metal_storage_ready &gt;= 1</x:v>
      </x:c>
      <x:c r="J26" s="35" t="n">
        <x:f>SUM($G$6:G26)</x:f>
        <x:v>12668</x:v>
      </x:c>
      <x:c r="K26" s="45" t="str"/>
    </x:row>
    <x:row r="27" ht="23" customHeight="1">
      <x:c r="A27" s="41" t="n">
        <x:v>22</x:v>
      </x:c>
      <x:c r="B27" s="34" t="str">
        <x:v>EXTENDED · Z2</x:v>
      </x:c>
      <x:c r="C27" s="34" t="str">
        <x:v>Purchase metal-cutting equipment</x:v>
      </x:c>
      <x:c r="D27" s="35" t="n">
        <x:v>5000</x:v>
      </x:c>
      <x:c r="E27" s="35" t="n">
        <x:v>0</x:v>
      </x:c>
      <x:c r="F27" s="34" t="n">
        <x:v>300</x:v>
      </x:c>
      <x:c r="G27" s="35" t="n">
        <x:v>2700</x:v>
      </x:c>
      <x:c r="H27" s="35" t="n">
        <x:v>0</x:v>
      </x:c>
      <x:c r="I27" s="34" t="str">
        <x:v>metal_cutter_owned &gt;= 1</x:v>
      </x:c>
      <x:c r="J27" s="35" t="n">
        <x:f>SUM($G$6:G27)</x:f>
        <x:v>15368</x:v>
      </x:c>
      <x:c r="K27" s="45" t="str"/>
    </x:row>
    <x:row r="28" ht="23" customHeight="1">
      <x:c r="A28" s="41" t="n">
        <x:v>23</x:v>
      </x:c>
      <x:c r="B28" s="34" t="str">
        <x:v>EXTENDED · Z2</x:v>
      </x:c>
      <x:c r="C28" s="34" t="str">
        <x:v>Unlock the shipwreck salvage site</x:v>
      </x:c>
      <x:c r="D28" s="35" t="n">
        <x:v>27500</x:v>
      </x:c>
      <x:c r="E28" s="35" t="n">
        <x:v>0</x:v>
      </x:c>
      <x:c r="F28" s="34" t="n">
        <x:v>900</x:v>
      </x:c>
      <x:c r="G28" s="35" t="n">
        <x:v>2970</x:v>
      </x:c>
      <x:c r="H28" s="35" t="n">
        <x:v>0</x:v>
      </x:c>
      <x:c r="I28" s="34" t="str">
        <x:v>wreck_ready &gt;= 1</x:v>
      </x:c>
      <x:c r="J28" s="35" t="n">
        <x:f>SUM($G$6:G28)</x:f>
        <x:v>18338</x:v>
      </x:c>
      <x:c r="K28" s="45" t="str"/>
    </x:row>
    <x:row r="29" ht="23" customHeight="1">
      <x:c r="A29" s="41" t="n">
        <x:v>24</x:v>
      </x:c>
      <x:c r="B29" s="34" t="str">
        <x:v>EXTENDED · Z2</x:v>
      </x:c>
      <x:c r="C29" s="34" t="str">
        <x:v>Deliver 10 units of metal</x:v>
      </x:c>
      <x:c r="D29" s="35" t="n">
        <x:v>0</x:v>
      </x:c>
      <x:c r="E29" s="35" t="n">
        <x:v>0</x:v>
      </x:c>
      <x:c r="F29" s="34" t="n">
        <x:v>0</x:v>
      </x:c>
      <x:c r="G29" s="35" t="n">
        <x:v>3240</x:v>
      </x:c>
      <x:c r="H29" s="35" t="n">
        <x:v>0</x:v>
      </x:c>
      <x:c r="I29" s="34" t="str">
        <x:v>metal_deposited &gt;= 10</x:v>
      </x:c>
      <x:c r="J29" s="35" t="n">
        <x:f>SUM($G$6:G29)</x:f>
        <x:v>21578</x:v>
      </x:c>
      <x:c r="K29" s="45" t="str"/>
    </x:row>
    <x:row r="30" ht="23" customHeight="1">
      <x:c r="A30" s="41" t="n">
        <x:v>25</x:v>
      </x:c>
      <x:c r="B30" s="34" t="str">
        <x:v>EXTENDED · Z2</x:v>
      </x:c>
      <x:c r="C30" s="34" t="str">
        <x:v>Hire the first salvage vessel</x:v>
      </x:c>
      <x:c r="D30" s="35" t="n">
        <x:v>7000</x:v>
      </x:c>
      <x:c r="E30" s="35" t="n">
        <x:v>0</x:v>
      </x:c>
      <x:c r="F30" s="34" t="n">
        <x:v>120</x:v>
      </x:c>
      <x:c r="G30" s="35" t="n">
        <x:v>3510</x:v>
      </x:c>
      <x:c r="H30" s="35" t="n">
        <x:v>0</x:v>
      </x:c>
      <x:c r="I30" s="34" t="str">
        <x:v>salvage_workers &gt;= 1</x:v>
      </x:c>
      <x:c r="J30" s="35" t="n">
        <x:f>SUM($G$6:G30)</x:f>
        <x:v>25088</x:v>
      </x:c>
      <x:c r="K30" s="45" t="str"/>
    </x:row>
    <x:row r="31" ht="23" customHeight="1">
      <x:c r="A31" s="41" t="n">
        <x:v>26</x:v>
      </x:c>
      <x:c r="B31" s="34" t="str">
        <x:v>EXTENDED · Z2</x:v>
      </x:c>
      <x:c r="C31" s="34" t="str">
        <x:v>Deliver 50 units of metal</x:v>
      </x:c>
      <x:c r="D31" s="35" t="n">
        <x:v>0</x:v>
      </x:c>
      <x:c r="E31" s="35" t="n">
        <x:v>0</x:v>
      </x:c>
      <x:c r="F31" s="34" t="n">
        <x:v>0</x:v>
      </x:c>
      <x:c r="G31" s="35" t="n">
        <x:v>3780</x:v>
      </x:c>
      <x:c r="H31" s="35" t="n">
        <x:v>0</x:v>
      </x:c>
      <x:c r="I31" s="34" t="str">
        <x:v>metal_deposited &gt;= 50</x:v>
      </x:c>
      <x:c r="J31" s="35" t="n">
        <x:f>SUM($G$6:G31)</x:f>
        <x:v>28868</x:v>
      </x:c>
      <x:c r="K31" s="45" t="str">
        <x:v>Optional second port unlocks after Q26 reward; not a quest.</x:v>
      </x:c>
    </x:row>
    <x:row r="32" ht="23" customHeight="1">
      <x:c r="A32" s="41" t="n">
        <x:v>27</x:v>
      </x:c>
      <x:c r="B32" s="34" t="str">
        <x:v>EXTENDED · Z2</x:v>
      </x:c>
      <x:c r="C32" s="34" t="str">
        <x:v>Unlock the swordfish fishing ground</x:v>
      </x:c>
      <x:c r="D32" s="35" t="n">
        <x:v>55000</x:v>
      </x:c>
      <x:c r="E32" s="35" t="n">
        <x:v>0</x:v>
      </x:c>
      <x:c r="F32" s="34" t="n">
        <x:v>900</x:v>
      </x:c>
      <x:c r="G32" s="35" t="n">
        <x:v>4050</x:v>
      </x:c>
      <x:c r="H32" s="35" t="n">
        <x:v>0</x:v>
      </x:c>
      <x:c r="I32" s="34" t="str">
        <x:v>resource_ready(swordfish) = unlocked</x:v>
      </x:c>
      <x:c r="J32" s="35" t="n">
        <x:f>SUM($G$6:G32)</x:f>
        <x:v>32918</x:v>
      </x:c>
      <x:c r="K32" s="45" t="str"/>
    </x:row>
    <x:row r="33" ht="23" customHeight="1">
      <x:c r="A33" s="41" t="n">
        <x:v>28</x:v>
      </x:c>
      <x:c r="B33" s="34" t="str">
        <x:v>EXTENDED · Z2</x:v>
      </x:c>
      <x:c r="C33" s="34" t="str">
        <x:v>Expand the regular fleet to 7 boats</x:v>
      </x:c>
      <x:c r="D33" s="35" t="n">
        <x:v>4550</x:v>
      </x:c>
      <x:c r="E33" s="35" t="n">
        <x:v>0</x:v>
      </x:c>
      <x:c r="F33" s="34" t="str">
        <x:v>150+300</x:v>
      </x:c>
      <x:c r="G33" s="35" t="n">
        <x:v>4320</x:v>
      </x:c>
      <x:c r="H33" s="35" t="n">
        <x:v>0</x:v>
      </x:c>
      <x:c r="I33" s="34" t="str">
        <x:v>normal_workers &gt;= 7</x:v>
      </x:c>
      <x:c r="J33" s="35" t="n">
        <x:f>SUM($G$6:G33)</x:f>
        <x:v>37238</x:v>
      </x:c>
      <x:c r="K33" s="45" t="str">
        <x:v>Compound cost/timer: multiple sequential upgrades.</x:v>
      </x:c>
    </x:row>
    <x:row r="34" ht="23" customHeight="1">
      <x:c r="A34" s="41" t="n">
        <x:v>29</x:v>
      </x:c>
      <x:c r="B34" s="34" t="str">
        <x:v>EXTENDED · Z2</x:v>
      </x:c>
      <x:c r="C34" s="34" t="str">
        <x:v>Upgrade cargo hold to Lv.6</x:v>
      </x:c>
      <x:c r="D34" s="35" t="n">
        <x:v>5000</x:v>
      </x:c>
      <x:c r="E34" s="35" t="n">
        <x:v>0</x:v>
      </x:c>
      <x:c r="F34" s="34" t="str">
        <x:v>120+300</x:v>
      </x:c>
      <x:c r="G34" s="35" t="n">
        <x:v>4590</x:v>
      </x:c>
      <x:c r="H34" s="35" t="n">
        <x:v>0</x:v>
      </x:c>
      <x:c r="I34" s="34" t="str">
        <x:v>cargo_level &gt;= 6</x:v>
      </x:c>
      <x:c r="J34" s="35" t="n">
        <x:f>SUM($G$6:G34)</x:f>
        <x:v>41828</x:v>
      </x:c>
      <x:c r="K34" s="45" t="str">
        <x:v>Compound cost/timer: multiple sequential upgrades.</x:v>
      </x:c>
    </x:row>
    <x:row r="35" ht="23" customHeight="1">
      <x:c r="A35" s="41" t="n">
        <x:v>30</x:v>
      </x:c>
      <x:c r="B35" s="34" t="str">
        <x:v>EXTENDED · Z2</x:v>
      </x:c>
      <x:c r="C35" s="34" t="str">
        <x:v>Upgrade metal storage capacity to 150</x:v>
      </x:c>
      <x:c r="D35" s="35" t="n">
        <x:v>20000</x:v>
      </x:c>
      <x:c r="E35" s="35" t="n">
        <x:v>40</x:v>
      </x:c>
      <x:c r="F35" s="34" t="n">
        <x:v>300</x:v>
      </x:c>
      <x:c r="G35" s="35" t="n">
        <x:v>4860</x:v>
      </x:c>
      <x:c r="H35" s="35" t="n">
        <x:v>0</x:v>
      </x:c>
      <x:c r="I35" s="34" t="str">
        <x:v>metal_storage_capacity &gt;= 150</x:v>
      </x:c>
      <x:c r="J35" s="35" t="n">
        <x:f>SUM($G$6:G35)</x:f>
        <x:v>46688</x:v>
      </x:c>
      <x:c r="K35" s="45" t="str"/>
    </x:row>
    <x:row r="36" ht="23" customHeight="1">
      <x:c r="A36" s="41" t="n">
        <x:v>31</x:v>
      </x:c>
      <x:c r="B36" s="34" t="str">
        <x:v>EXTENDED · Z2</x:v>
      </x:c>
      <x:c r="C36" s="34" t="str">
        <x:v>Eliminate the pirate hideout</x:v>
      </x:c>
      <x:c r="D36" s="35" t="n">
        <x:v>51000</x:v>
      </x:c>
      <x:c r="E36" s="35" t="n">
        <x:v>150</x:v>
      </x:c>
      <x:c r="F36" s="34" t="n">
        <x:v>120</x:v>
      </x:c>
      <x:c r="G36" s="35" t="n">
        <x:v>5130</x:v>
      </x:c>
      <x:c r="H36" s="35" t="n">
        <x:v>0</x:v>
      </x:c>
      <x:c r="I36" s="34" t="str">
        <x:v>pirate_den_closed &gt;= 1</x:v>
      </x:c>
      <x:c r="J36" s="35" t="n">
        <x:f>SUM($G$6:G36)</x:f>
        <x:v>51818</x:v>
      </x:c>
      <x:c r="K36" s="45" t="str"/>
    </x:row>
    <x:row r="37" ht="23" customHeight="1">
      <x:c r="A37" s="41" t="n">
        <x:v>32</x:v>
      </x:c>
      <x:c r="B37" s="34" t="str">
        <x:v>EXTENDED · Z2</x:v>
      </x:c>
      <x:c r="C37" s="34" t="str">
        <x:v>Unlock the rare squid fishing ground</x:v>
      </x:c>
      <x:c r="D37" s="35" t="n">
        <x:v>90000</x:v>
      </x:c>
      <x:c r="E37" s="35" t="n">
        <x:v>0</x:v>
      </x:c>
      <x:c r="F37" s="34" t="n">
        <x:v>900</x:v>
      </x:c>
      <x:c r="G37" s="35" t="n">
        <x:v>5400</x:v>
      </x:c>
      <x:c r="H37" s="35" t="n">
        <x:v>0</x:v>
      </x:c>
      <x:c r="I37" s="34" t="str">
        <x:v>resource_ready(squid) = unlocked</x:v>
      </x:c>
      <x:c r="J37" s="35" t="n">
        <x:f>SUM($G$6:G37)</x:f>
        <x:v>57218</x:v>
      </x:c>
      <x:c r="K37" s="45" t="str"/>
    </x:row>
    <x:row r="38" ht="23" customHeight="1">
      <x:c r="A38" s="41" t="n">
        <x:v>33</x:v>
      </x:c>
      <x:c r="B38" s="34" t="str">
        <x:v>EXTENDED · Z2</x:v>
      </x:c>
      <x:c r="C38" s="34" t="str">
        <x:v>Hire a second salvage vessel</x:v>
      </x:c>
      <x:c r="D38" s="35" t="n">
        <x:v>9450</x:v>
      </x:c>
      <x:c r="E38" s="35" t="n">
        <x:v>0</x:v>
      </x:c>
      <x:c r="F38" s="34" t="n">
        <x:v>300</x:v>
      </x:c>
      <x:c r="G38" s="35" t="n">
        <x:v>5670</x:v>
      </x:c>
      <x:c r="H38" s="35" t="n">
        <x:v>0</x:v>
      </x:c>
      <x:c r="I38" s="34" t="str">
        <x:v>salvage_workers &gt;= 2</x:v>
      </x:c>
      <x:c r="J38" s="35" t="n">
        <x:f>SUM($G$6:G38)</x:f>
        <x:v>62888</x:v>
      </x:c>
      <x:c r="K38" s="45" t="str"/>
    </x:row>
    <x:row r="39" ht="23" customHeight="1">
      <x:c r="A39" s="41" t="n">
        <x:v>34</x:v>
      </x:c>
      <x:c r="B39" s="34" t="str">
        <x:v>EXTENDED · Z2</x:v>
      </x:c>
      <x:c r="C39" s="34" t="str">
        <x:v>Open a distant sea route</x:v>
      </x:c>
      <x:c r="D39" s="35" t="n">
        <x:v>60000</x:v>
      </x:c>
      <x:c r="E39" s="35" t="n">
        <x:v>80</x:v>
      </x:c>
      <x:c r="F39" s="34" t="n">
        <x:v>600</x:v>
      </x:c>
      <x:c r="G39" s="35" t="n">
        <x:v>5940</x:v>
      </x:c>
      <x:c r="H39" s="35" t="n">
        <x:v>0</x:v>
      </x:c>
      <x:c r="I39" s="34" t="str">
        <x:v>expedition_route_ready &gt;= 1</x:v>
      </x:c>
      <x:c r="J39" s="35" t="n">
        <x:f>SUM($G$6:G39)</x:f>
        <x:v>68828</x:v>
      </x:c>
      <x:c r="K39" s="45" t="str"/>
    </x:row>
  </x:sheetData>
  <x:mergeCells>
    <x:mergeCell ref="A1:K1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23" hidden="0" customWidth="1"/>
    <x:col min="4" max="4" width="23" hidden="0" customWidth="1"/>
    <x:col min="5" max="5" width="13" hidden="0" customWidth="1"/>
    <x:col min="6" max="6" width="17" hidden="0" customWidth="1"/>
    <x:col min="7" max="7" width="18" hidden="0" customWidth="1"/>
    <x:col min="8" max="8" width="15" hidden="0" customWidth="1"/>
    <x:col min="9" max="9" width="17" hidden="0" customWidth="1"/>
    <x:col min="10" max="10" width="18" hidden="0" customWidth="1"/>
  </x:cols>
  <x:sheetData>
    <x:row r="1" ht="32" customHeight="1">
      <x:c r="A1" s="3" t="str">
        <x:v>QUIET COVE  /  FAST RESOURCES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24" customHeight="1">
      <x:c r="A3" s="6" t="str">
        <x:v>Source: public/balance/balance_fast.json. Verified against current release data.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30" customHeight="1">
      <x:c r="A5" s="11" t="str">
        <x:v>RESOURCE</x:v>
      </x:c>
      <x:c r="B5" s="11" t="str">
        <x:v>ZONE</x:v>
      </x:c>
      <x:c r="C5" s="11" t="str">
        <x:v>VALUE / UNIT (COINS)</x:v>
      </x:c>
      <x:c r="D5" s="11" t="str">
        <x:v>UNLOCK (COINS)</x:v>
      </x:c>
      <x:c r="E5" s="11" t="str">
        <x:v>STOCK</x:v>
      </x:c>
      <x:c r="F5" s="11" t="str">
        <x:v>REGROW (s)</x:v>
      </x:c>
      <x:c r="G5" s="11" t="str">
        <x:v>RESTOCK (s)</x:v>
      </x:c>
      <x:c r="H5" s="11" t="str">
        <x:v>BUILD (s)</x:v>
      </x:c>
      <x:c r="I5" s="11" t="str">
        <x:v>PORTION HP</x:v>
      </x:c>
      <x:c r="J5" s="11" t="str">
        <x:v>TYPE</x:v>
      </x:c>
    </x:row>
    <x:row r="6" ht="23" customHeight="1">
      <x:c r="A6" s="32" t="str">
        <x:v>Sardines</x:v>
      </x:c>
      <x:c r="B6" s="32" t="n">
        <x:v>1</x:v>
      </x:c>
      <x:c r="C6" s="32" t="n">
        <x:v>2</x:v>
      </x:c>
      <x:c r="D6" s="33" t="n">
        <x:v>0</x:v>
      </x:c>
      <x:c r="E6" s="32" t="n">
        <x:v>10</x:v>
      </x:c>
      <x:c r="F6" s="32" t="n">
        <x:v>2</x:v>
      </x:c>
      <x:c r="G6" s="32" t="n">
        <x:v>18</x:v>
      </x:c>
      <x:c r="H6" s="32" t="n">
        <x:v>0</x:v>
      </x:c>
      <x:c r="I6" s="32" t="n">
        <x:v>120</x:v>
      </x:c>
      <x:c r="J6" s="32" t="str">
        <x:v>Fishing</x:v>
      </x:c>
    </x:row>
    <x:row r="7" ht="23" customHeight="1">
      <x:c r="A7" s="32" t="str">
        <x:v>Crabs</x:v>
      </x:c>
      <x:c r="B7" s="32" t="n">
        <x:v>1</x:v>
      </x:c>
      <x:c r="C7" s="32" t="n">
        <x:v>5</x:v>
      </x:c>
      <x:c r="D7" s="33" t="n">
        <x:v>38</x:v>
      </x:c>
      <x:c r="E7" s="32" t="n">
        <x:v>8</x:v>
      </x:c>
      <x:c r="F7" s="32" t="n">
        <x:v>3</x:v>
      </x:c>
      <x:c r="G7" s="32" t="n">
        <x:v>30</x:v>
      </x:c>
      <x:c r="H7" s="32" t="n">
        <x:v>1</x:v>
      </x:c>
      <x:c r="I7" s="32" t="n">
        <x:v>140</x:v>
      </x:c>
      <x:c r="J7" s="32" t="str">
        <x:v>Fishing</x:v>
      </x:c>
    </x:row>
    <x:row r="8" ht="23" customHeight="1">
      <x:c r="A8" s="32" t="str">
        <x:v>Mussels</x:v>
      </x:c>
      <x:c r="B8" s="32" t="n">
        <x:v>1</x:v>
      </x:c>
      <x:c r="C8" s="32" t="n">
        <x:v>8</x:v>
      </x:c>
      <x:c r="D8" s="33" t="n">
        <x:v>294</x:v>
      </x:c>
      <x:c r="E8" s="32" t="n">
        <x:v>6</x:v>
      </x:c>
      <x:c r="F8" s="32" t="n">
        <x:v>4</x:v>
      </x:c>
      <x:c r="G8" s="32" t="n">
        <x:v>60</x:v>
      </x:c>
      <x:c r="H8" s="32" t="n">
        <x:v>29</x:v>
      </x:c>
      <x:c r="I8" s="32" t="n">
        <x:v>160</x:v>
      </x:c>
      <x:c r="J8" s="32" t="str">
        <x:v>Fishing</x:v>
      </x:c>
    </x:row>
    <x:row r="9" ht="23" customHeight="1">
      <x:c r="A9" s="32" t="str">
        <x:v>Red snapper</x:v>
      </x:c>
      <x:c r="B9" s="32" t="n">
        <x:v>1</x:v>
      </x:c>
      <x:c r="C9" s="32" t="n">
        <x:v>14</x:v>
      </x:c>
      <x:c r="D9" s="33" t="n">
        <x:v>450</x:v>
      </x:c>
      <x:c r="E9" s="32" t="n">
        <x:v>5</x:v>
      </x:c>
      <x:c r="F9" s="32" t="n">
        <x:v>6</x:v>
      </x:c>
      <x:c r="G9" s="32" t="n">
        <x:v>140</x:v>
      </x:c>
      <x:c r="H9" s="32" t="n">
        <x:v>20</x:v>
      </x:c>
      <x:c r="I9" s="32" t="n">
        <x:v>160</x:v>
      </x:c>
      <x:c r="J9" s="32" t="str">
        <x:v>Fishing</x:v>
      </x:c>
    </x:row>
    <x:row r="10" ht="23" customHeight="1">
      <x:c r="A10" s="32" t="str">
        <x:v>Tuna</x:v>
      </x:c>
      <x:c r="B10" s="32" t="n">
        <x:v>1</x:v>
      </x:c>
      <x:c r="C10" s="32" t="n">
        <x:v>24</x:v>
      </x:c>
      <x:c r="D10" s="33" t="n">
        <x:v>900</x:v>
      </x:c>
      <x:c r="E10" s="32" t="n">
        <x:v>5</x:v>
      </x:c>
      <x:c r="F10" s="32" t="n">
        <x:v>8</x:v>
      </x:c>
      <x:c r="G10" s="32" t="n">
        <x:v>180</x:v>
      </x:c>
      <x:c r="H10" s="32" t="n">
        <x:v>30</x:v>
      </x:c>
      <x:c r="I10" s="32" t="n">
        <x:v>200</x:v>
      </x:c>
      <x:c r="J10" s="32" t="str">
        <x:v>Fishing</x:v>
      </x:c>
    </x:row>
    <x:row r="11" ht="23" customHeight="1">
      <x:c r="A11" s="34" t="str">
        <x:v>Lobsters</x:v>
      </x:c>
      <x:c r="B11" s="34" t="n">
        <x:v>2</x:v>
      </x:c>
      <x:c r="C11" s="34" t="n">
        <x:v>40</x:v>
      </x:c>
      <x:c r="D11" s="35" t="n">
        <x:v>2200</x:v>
      </x:c>
      <x:c r="E11" s="34" t="n">
        <x:v>5</x:v>
      </x:c>
      <x:c r="F11" s="34" t="n">
        <x:v>15</x:v>
      </x:c>
      <x:c r="G11" s="34" t="n">
        <x:v>180</x:v>
      </x:c>
      <x:c r="H11" s="34" t="n">
        <x:v>35</x:v>
      </x:c>
      <x:c r="I11" s="34" t="n">
        <x:v>300</x:v>
      </x:c>
      <x:c r="J11" s="34" t="str">
        <x:v>Fishing</x:v>
      </x:c>
    </x:row>
    <x:row r="12" ht="23" customHeight="1">
      <x:c r="A12" s="34" t="str">
        <x:v>Swordfish</x:v>
      </x:c>
      <x:c r="B12" s="34" t="n">
        <x:v>2</x:v>
      </x:c>
      <x:c r="C12" s="34" t="n">
        <x:v>70</x:v>
      </x:c>
      <x:c r="D12" s="35" t="n">
        <x:v>3900</x:v>
      </x:c>
      <x:c r="E12" s="34" t="n">
        <x:v>4</x:v>
      </x:c>
      <x:c r="F12" s="34" t="n">
        <x:v>24</x:v>
      </x:c>
      <x:c r="G12" s="34" t="n">
        <x:v>300</x:v>
      </x:c>
      <x:c r="H12" s="34" t="n">
        <x:v>45</x:v>
      </x:c>
      <x:c r="I12" s="34" t="n">
        <x:v>500</x:v>
      </x:c>
      <x:c r="J12" s="34" t="str">
        <x:v>Fishing</x:v>
      </x:c>
    </x:row>
    <x:row r="13" ht="23" customHeight="1">
      <x:c r="A13" s="34" t="str">
        <x:v>Squid</x:v>
      </x:c>
      <x:c r="B13" s="34" t="n">
        <x:v>2</x:v>
      </x:c>
      <x:c r="C13" s="34" t="n">
        <x:v>110</x:v>
      </x:c>
      <x:c r="D13" s="35" t="n">
        <x:v>5400</x:v>
      </x:c>
      <x:c r="E13" s="34" t="n">
        <x:v>3</x:v>
      </x:c>
      <x:c r="F13" s="34" t="n">
        <x:v>30</x:v>
      </x:c>
      <x:c r="G13" s="34" t="n">
        <x:v>1650</x:v>
      </x:c>
      <x:c r="H13" s="34" t="n">
        <x:v>50</x:v>
      </x:c>
      <x:c r="I13" s="34" t="n">
        <x:v>700</x:v>
      </x:c>
      <x:c r="J13" s="34" t="str">
        <x:v>Fishing</x:v>
      </x:c>
    </x:row>
    <x:row r="14" ht="23" customHeight="1">
      <x:c r="A14" s="34" t="str">
        <x:v>Shipwreck</x:v>
      </x:c>
      <x:c r="B14" s="34" t="n">
        <x:v>2</x:v>
      </x:c>
      <x:c r="C14" s="34" t="n">
        <x:v>0</x:v>
      </x:c>
      <x:c r="D14" s="35" t="n">
        <x:v>1800</x:v>
      </x:c>
      <x:c r="E14" s="34" t="n">
        <x:v>12</x:v>
      </x:c>
      <x:c r="F14" s="34" t="n">
        <x:v>3</x:v>
      </x:c>
      <x:c r="G14" s="34" t="n">
        <x:v>90</x:v>
      </x:c>
      <x:c r="H14" s="34" t="n">
        <x:v>20</x:v>
      </x:c>
      <x:c r="I14" s="34" t="n">
        <x:v>50</x:v>
      </x:c>
      <x:c r="J14" s="34" t="str">
        <x:v>Salvage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23" hidden="0" customWidth="1"/>
    <x:col min="4" max="4" width="23" hidden="0" customWidth="1"/>
    <x:col min="5" max="5" width="13" hidden="0" customWidth="1"/>
    <x:col min="6" max="6" width="17" hidden="0" customWidth="1"/>
    <x:col min="7" max="7" width="18" hidden="0" customWidth="1"/>
    <x:col min="8" max="8" width="15" hidden="0" customWidth="1"/>
    <x:col min="9" max="9" width="17" hidden="0" customWidth="1"/>
    <x:col min="10" max="10" width="18" hidden="0" customWidth="1"/>
  </x:cols>
  <x:sheetData>
    <x:row r="1" ht="32" customHeight="1">
      <x:c r="A1" s="3" t="str">
        <x:v>QUIET COVE  /  REF RESOURCES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24" customHeight="1">
      <x:c r="A3" s="6" t="str">
        <x:v>Source: public/balance/balance_reference.json. Verified against current release data.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30" customHeight="1">
      <x:c r="A5" s="11" t="str">
        <x:v>RESOURCE</x:v>
      </x:c>
      <x:c r="B5" s="11" t="str">
        <x:v>ZONE</x:v>
      </x:c>
      <x:c r="C5" s="11" t="str">
        <x:v>VALUE / UNIT (COINS)</x:v>
      </x:c>
      <x:c r="D5" s="11" t="str">
        <x:v>UNLOCK (COINS)</x:v>
      </x:c>
      <x:c r="E5" s="11" t="str">
        <x:v>STOCK</x:v>
      </x:c>
      <x:c r="F5" s="11" t="str">
        <x:v>REGROW (s)</x:v>
      </x:c>
      <x:c r="G5" s="11" t="str">
        <x:v>RESTOCK (s)</x:v>
      </x:c>
      <x:c r="H5" s="11" t="str">
        <x:v>BUILD (s)</x:v>
      </x:c>
      <x:c r="I5" s="11" t="str">
        <x:v>PORTION HP</x:v>
      </x:c>
      <x:c r="J5" s="11" t="str">
        <x:v>TYPE</x:v>
      </x:c>
    </x:row>
    <x:row r="6" ht="23" customHeight="1">
      <x:c r="A6" s="32" t="str">
        <x:v>Sardines</x:v>
      </x:c>
      <x:c r="B6" s="32" t="n">
        <x:v>1</x:v>
      </x:c>
      <x:c r="C6" s="32" t="n">
        <x:v>1</x:v>
      </x:c>
      <x:c r="D6" s="33" t="n">
        <x:v>0</x:v>
      </x:c>
      <x:c r="E6" s="32" t="n">
        <x:v>8</x:v>
      </x:c>
      <x:c r="F6" s="32" t="n">
        <x:v>5</x:v>
      </x:c>
      <x:c r="G6" s="32" t="n">
        <x:v>360</x:v>
      </x:c>
      <x:c r="H6" s="32" t="n">
        <x:v>0</x:v>
      </x:c>
      <x:c r="I6" s="32" t="n">
        <x:v>30</x:v>
      </x:c>
      <x:c r="J6" s="32" t="str">
        <x:v>Fishing</x:v>
      </x:c>
    </x:row>
    <x:row r="7" ht="23" customHeight="1">
      <x:c r="A7" s="32" t="str">
        <x:v>Crabs</x:v>
      </x:c>
      <x:c r="B7" s="32" t="n">
        <x:v>1</x:v>
      </x:c>
      <x:c r="C7" s="32" t="n">
        <x:v>3</x:v>
      </x:c>
      <x:c r="D7" s="33" t="n">
        <x:v>90</x:v>
      </x:c>
      <x:c r="E7" s="32" t="n">
        <x:v>6</x:v>
      </x:c>
      <x:c r="F7" s="32" t="n">
        <x:v>7</x:v>
      </x:c>
      <x:c r="G7" s="32" t="n">
        <x:v>180</x:v>
      </x:c>
      <x:c r="H7" s="32" t="n">
        <x:v>5</x:v>
      </x:c>
      <x:c r="I7" s="32" t="n">
        <x:v>45</x:v>
      </x:c>
      <x:c r="J7" s="32" t="str">
        <x:v>Fishing</x:v>
      </x:c>
    </x:row>
    <x:row r="8" ht="23" customHeight="1">
      <x:c r="A8" s="32" t="str">
        <x:v>Mussels</x:v>
      </x:c>
      <x:c r="B8" s="32" t="n">
        <x:v>1</x:v>
      </x:c>
      <x:c r="C8" s="32" t="n">
        <x:v>6</x:v>
      </x:c>
      <x:c r="D8" s="33" t="n">
        <x:v>700</x:v>
      </x:c>
      <x:c r="E8" s="32" t="n">
        <x:v>4</x:v>
      </x:c>
      <x:c r="F8" s="32" t="n">
        <x:v>9</x:v>
      </x:c>
      <x:c r="G8" s="32" t="n">
        <x:v>360</x:v>
      </x:c>
      <x:c r="H8" s="32" t="n">
        <x:v>180</x:v>
      </x:c>
      <x:c r="I8" s="32" t="n">
        <x:v>70</x:v>
      </x:c>
      <x:c r="J8" s="32" t="str">
        <x:v>Fishing</x:v>
      </x:c>
    </x:row>
    <x:row r="9" ht="23" customHeight="1">
      <x:c r="A9" s="32" t="str">
        <x:v>Red snapper</x:v>
      </x:c>
      <x:c r="B9" s="32" t="n">
        <x:v>1</x:v>
      </x:c>
      <x:c r="C9" s="32" t="n">
        <x:v>10</x:v>
      </x:c>
      <x:c r="D9" s="33" t="n">
        <x:v>1600</x:v>
      </x:c>
      <x:c r="E9" s="32" t="n">
        <x:v>3</x:v>
      </x:c>
      <x:c r="F9" s="32" t="n">
        <x:v>12</x:v>
      </x:c>
      <x:c r="G9" s="32" t="n">
        <x:v>1440</x:v>
      </x:c>
      <x:c r="H9" s="32" t="n">
        <x:v>300</x:v>
      </x:c>
      <x:c r="I9" s="32" t="n">
        <x:v>100</x:v>
      </x:c>
      <x:c r="J9" s="32" t="str">
        <x:v>Fishing</x:v>
      </x:c>
    </x:row>
    <x:row r="10" ht="23" customHeight="1">
      <x:c r="A10" s="32" t="str">
        <x:v>Tuna</x:v>
      </x:c>
      <x:c r="B10" s="32" t="n">
        <x:v>1</x:v>
      </x:c>
      <x:c r="C10" s="32" t="n">
        <x:v>15</x:v>
      </x:c>
      <x:c r="D10" s="33" t="n">
        <x:v>6000</x:v>
      </x:c>
      <x:c r="E10" s="32" t="n">
        <x:v>3</x:v>
      </x:c>
      <x:c r="F10" s="32" t="n">
        <x:v>15</x:v>
      </x:c>
      <x:c r="G10" s="32" t="n">
        <x:v>1800</x:v>
      </x:c>
      <x:c r="H10" s="32" t="n">
        <x:v>600</x:v>
      </x:c>
      <x:c r="I10" s="32" t="n">
        <x:v>150</x:v>
      </x:c>
      <x:c r="J10" s="32" t="str">
        <x:v>Fishing</x:v>
      </x:c>
    </x:row>
    <x:row r="11" ht="23" customHeight="1">
      <x:c r="A11" s="34" t="str">
        <x:v>Lobsters</x:v>
      </x:c>
      <x:c r="B11" s="34" t="n">
        <x:v>2</x:v>
      </x:c>
      <x:c r="C11" s="34" t="n">
        <x:v>28</x:v>
      </x:c>
      <x:c r="D11" s="35" t="n">
        <x:v>8000</x:v>
      </x:c>
      <x:c r="E11" s="34" t="n">
        <x:v>5</x:v>
      </x:c>
      <x:c r="F11" s="34" t="n">
        <x:v>15</x:v>
      </x:c>
      <x:c r="G11" s="34" t="n">
        <x:v>900</x:v>
      </x:c>
      <x:c r="H11" s="34" t="n">
        <x:v>900</x:v>
      </x:c>
      <x:c r="I11" s="34" t="n">
        <x:v>300</x:v>
      </x:c>
      <x:c r="J11" s="34" t="str">
        <x:v>Fishing</x:v>
      </x:c>
    </x:row>
    <x:row r="12" ht="23" customHeight="1">
      <x:c r="A12" s="34" t="str">
        <x:v>Swordfish</x:v>
      </x:c>
      <x:c r="B12" s="34" t="n">
        <x:v>2</x:v>
      </x:c>
      <x:c r="C12" s="34" t="n">
        <x:v>48</x:v>
      </x:c>
      <x:c r="D12" s="35" t="n">
        <x:v>55000</x:v>
      </x:c>
      <x:c r="E12" s="34" t="n">
        <x:v>4</x:v>
      </x:c>
      <x:c r="F12" s="34" t="n">
        <x:v>24</x:v>
      </x:c>
      <x:c r="G12" s="34" t="n">
        <x:v>1500</x:v>
      </x:c>
      <x:c r="H12" s="34" t="n">
        <x:v>900</x:v>
      </x:c>
      <x:c r="I12" s="34" t="n">
        <x:v>500</x:v>
      </x:c>
      <x:c r="J12" s="34" t="str">
        <x:v>Fishing</x:v>
      </x:c>
    </x:row>
    <x:row r="13" ht="23" customHeight="1">
      <x:c r="A13" s="34" t="str">
        <x:v>Squid</x:v>
      </x:c>
      <x:c r="B13" s="34" t="n">
        <x:v>2</x:v>
      </x:c>
      <x:c r="C13" s="34" t="n">
        <x:v>80</x:v>
      </x:c>
      <x:c r="D13" s="35" t="n">
        <x:v>90000</x:v>
      </x:c>
      <x:c r="E13" s="34" t="n">
        <x:v>3</x:v>
      </x:c>
      <x:c r="F13" s="34" t="n">
        <x:v>30</x:v>
      </x:c>
      <x:c r="G13" s="34" t="n">
        <x:v>3300</x:v>
      </x:c>
      <x:c r="H13" s="34" t="n">
        <x:v>900</x:v>
      </x:c>
      <x:c r="I13" s="34" t="n">
        <x:v>700</x:v>
      </x:c>
      <x:c r="J13" s="34" t="str">
        <x:v>Fishing</x:v>
      </x:c>
    </x:row>
    <x:row r="14" ht="23" customHeight="1">
      <x:c r="A14" s="34" t="str">
        <x:v>Shipwreck</x:v>
      </x:c>
      <x:c r="B14" s="34" t="n">
        <x:v>2</x:v>
      </x:c>
      <x:c r="C14" s="34" t="n">
        <x:v>0</x:v>
      </x:c>
      <x:c r="D14" s="35" t="n">
        <x:v>27500</x:v>
      </x:c>
      <x:c r="E14" s="34" t="n">
        <x:v>3</x:v>
      </x:c>
      <x:c r="F14" s="34" t="n">
        <x:v>28</x:v>
      </x:c>
      <x:c r="G14" s="34" t="n">
        <x:v>3000</x:v>
      </x:c>
      <x:c r="H14" s="34" t="n">
        <x:v>900</x:v>
      </x:c>
      <x:c r="I14" s="34" t="n">
        <x:v>600</x:v>
      </x:c>
      <x:c r="J14" s="34" t="str">
        <x:v>Salvage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5" hidden="0" customWidth="1"/>
    <x:col min="4" max="4" width="25" hidden="0" customWidth="1"/>
    <x:col min="5" max="5" width="13" hidden="0" customWidth="1"/>
    <x:col min="6" max="6" width="38" hidden="0" customWidth="1"/>
  </x:cols>
  <x:sheetData>
    <x:row r="1" ht="32" customHeight="1">
      <x:c r="A1" s="3" t="str">
        <x:v>QUIET COVE  /  CORE FAST PLAYTEST</x:v>
      </x:c>
      <x:c r="B1" s="3"/>
      <x:c r="C1" s="3"/>
      <x:c r="D1" s="3"/>
      <x:c r="E1" s="3"/>
      <x:c r="F1" s="3"/>
    </x:row>
    <x:row r="3" ht="24" customHeight="1">
      <x:c r="A3" s="6" t="str">
        <x:v>Measured active-time milestones in one human FAST run; Q15 unlocks Zone 2 at 10:00</x:v>
      </x:c>
      <x:c r="B3" s="6"/>
      <x:c r="C3" s="6"/>
      <x:c r="D3" s="6"/>
      <x:c r="E3" s="6"/>
      <x:c r="F3" s="6"/>
    </x:row>
    <x:row r="5" ht="30" customHeight="1">
      <x:c r="A5" s="11" t="str">
        <x:v>#</x:v>
      </x:c>
      <x:c r="B5" s="11" t="str">
        <x:v>QUEST</x:v>
      </x:c>
      <x:c r="C5" s="11" t="str">
        <x:v>ACTIVE QUEST (s)</x:v>
      </x:c>
      <x:c r="D5" s="11" t="str">
        <x:v>COMPLETED AT (s)</x:v>
      </x:c>
      <x:c r="E5" s="11" t="str">
        <x:v>MM:SS</x:v>
      </x:c>
      <x:c r="F5" s="11" t="str">
        <x:v>SOURCE</x:v>
      </x:c>
    </x:row>
    <x:row r="6" ht="23" customHeight="1">
      <x:c r="A6" s="32" t="n">
        <x:v>1</x:v>
      </x:c>
      <x:c r="B6" s="32" t="str">
        <x:v>Catch your first sardine</x:v>
      </x:c>
      <x:c r="C6" s="32" t="n">
        <x:v>4.9</x:v>
      </x:c>
      <x:c r="D6" s="32" t="n">
        <x:v>4.9</x:v>
      </x:c>
      <x:c r="E6" s="32" t="str">
        <x:v>00:05</x:v>
      </x:c>
      <x:c r="F6" s="32" t="str">
        <x:v>Recorded FAST playtest (2026-10-13)</x:v>
      </x:c>
    </x:row>
    <x:row r="7" ht="23" customHeight="1">
      <x:c r="A7" s="32" t="n">
        <x:v>2</x:v>
      </x:c>
      <x:c r="B7" s="32" t="str">
        <x:v>Deliver fish to the harbor</x:v>
      </x:c>
      <x:c r="C7" s="32" t="n">
        <x:v>1.7</x:v>
      </x:c>
      <x:c r="D7" s="32" t="n">
        <x:v>7.7</x:v>
      </x:c>
      <x:c r="E7" s="32" t="str">
        <x:v>00:08</x:v>
      </x:c>
      <x:c r="F7" s="32" t="str">
        <x:v>Recorded FAST playtest (2026-10-13)</x:v>
      </x:c>
    </x:row>
    <x:row r="8" ht="23" customHeight="1">
      <x:c r="A8" s="32" t="n">
        <x:v>3</x:v>
      </x:c>
      <x:c r="B8" s="32" t="str">
        <x:v>Collect 3 crates in total</x:v>
      </x:c>
      <x:c r="C8" s="32" t="n">
        <x:v>9</x:v>
      </x:c>
      <x:c r="D8" s="32" t="n">
        <x:v>18.2</x:v>
      </x:c>
      <x:c r="E8" s="32" t="str">
        <x:v>00:18</x:v>
      </x:c>
      <x:c r="F8" s="32" t="str">
        <x:v>Recorded FAST playtest (2026-10-13)</x:v>
      </x:c>
    </x:row>
    <x:row r="9" ht="23" customHeight="1">
      <x:c r="A9" s="32" t="n">
        <x:v>4</x:v>
      </x:c>
      <x:c r="B9" s="32" t="str">
        <x:v>Upgrade cargo hold to Lv.1</x:v>
      </x:c>
      <x:c r="C9" s="32" t="n">
        <x:v>9.4</x:v>
      </x:c>
      <x:c r="D9" s="32" t="n">
        <x:v>32.4</x:v>
      </x:c>
      <x:c r="E9" s="32" t="str">
        <x:v>00:32</x:v>
      </x:c>
      <x:c r="F9" s="32" t="str">
        <x:v>Recorded FAST playtest (2026-10-13)</x:v>
      </x:c>
    </x:row>
    <x:row r="10" ht="23" customHeight="1">
      <x:c r="A10" s="32" t="n">
        <x:v>5</x:v>
      </x:c>
      <x:c r="B10" s="32" t="str">
        <x:v>Unlock the crab fishing ground</x:v>
      </x:c>
      <x:c r="C10" s="32" t="n">
        <x:v>7.2</x:v>
      </x:c>
      <x:c r="D10" s="32" t="n">
        <x:v>40.9</x:v>
      </x:c>
      <x:c r="E10" s="32" t="str">
        <x:v>00:41</x:v>
      </x:c>
      <x:c r="F10" s="32" t="str">
        <x:v>Recorded FAST playtest (2026-10-13)</x:v>
      </x:c>
    </x:row>
    <x:row r="11" ht="23" customHeight="1">
      <x:c r="A11" s="32" t="n">
        <x:v>6</x:v>
      </x:c>
      <x:c r="B11" s="32" t="str">
        <x:v>Hire your first fishing boat</x:v>
      </x:c>
      <x:c r="C11" s="32" t="n">
        <x:v>58.3</x:v>
      </x:c>
      <x:c r="D11" s="32" t="n">
        <x:v>100.5</x:v>
      </x:c>
      <x:c r="E11" s="32" t="str">
        <x:v>01:41</x:v>
      </x:c>
      <x:c r="F11" s="32" t="str">
        <x:v>Recorded FAST playtest (2026-10-13)</x:v>
      </x:c>
    </x:row>
    <x:row r="12" ht="23" customHeight="1">
      <x:c r="A12" s="32" t="n">
        <x:v>7</x:v>
      </x:c>
      <x:c r="B12" s="32" t="str">
        <x:v>Upgrade cargo hold to Lv.2</x:v>
      </x:c>
      <x:c r="C12" s="32" t="n">
        <x:v>41.4</x:v>
      </x:c>
      <x:c r="D12" s="32" t="n">
        <x:v>147.1</x:v>
      </x:c>
      <x:c r="E12" s="32" t="str">
        <x:v>02:27</x:v>
      </x:c>
      <x:c r="F12" s="32" t="str">
        <x:v>Recorded FAST playtest (2026-10-13)</x:v>
      </x:c>
    </x:row>
    <x:row r="13" ht="23" customHeight="1">
      <x:c r="A13" s="32" t="n">
        <x:v>8</x:v>
      </x:c>
      <x:c r="B13" s="32" t="str">
        <x:v>Earn 200 coins</x:v>
      </x:c>
      <x:c r="C13" s="32" t="n">
        <x:v>80.4</x:v>
      </x:c>
      <x:c r="D13" s="32" t="n">
        <x:v>231.2</x:v>
      </x:c>
      <x:c r="E13" s="32" t="str">
        <x:v>03:51</x:v>
      </x:c>
      <x:c r="F13" s="32" t="str">
        <x:v>Recorded FAST playtest (2026-10-13)</x:v>
      </x:c>
    </x:row>
    <x:row r="14" ht="23" customHeight="1">
      <x:c r="A14" s="32" t="n">
        <x:v>9</x:v>
      </x:c>
      <x:c r="B14" s="32" t="str">
        <x:v>Order a speedboat</x:v>
      </x:c>
      <x:c r="C14" s="32" t="n">
        <x:v>8.3</x:v>
      </x:c>
      <x:c r="D14" s="32" t="n">
        <x:v>240.9</x:v>
      </x:c>
      <x:c r="E14" s="32" t="str">
        <x:v>04:01</x:v>
      </x:c>
      <x:c r="F14" s="32" t="str">
        <x:v>Recorded FAST playtest (2026-10-13)</x:v>
      </x:c>
    </x:row>
    <x:row r="15" ht="23" customHeight="1">
      <x:c r="A15" s="32" t="n">
        <x:v>10</x:v>
      </x:c>
      <x:c r="B15" s="32" t="str">
        <x:v>Receive the speedboat</x:v>
      </x:c>
      <x:c r="C15" s="32" t="n">
        <x:v>0</x:v>
      </x:c>
      <x:c r="D15" s="32" t="n">
        <x:v>247.9</x:v>
      </x:c>
      <x:c r="E15" s="32" t="str">
        <x:v>04:08</x:v>
      </x:c>
      <x:c r="F15" s="32" t="str">
        <x:v>Recorded FAST playtest (2026-10-13)</x:v>
      </x:c>
    </x:row>
    <x:row r="16" ht="23" customHeight="1">
      <x:c r="A16" s="32" t="n">
        <x:v>11</x:v>
      </x:c>
      <x:c r="B16" s="32" t="str">
        <x:v>Unlock the mussel bank</x:v>
      </x:c>
      <x:c r="C16" s="32" t="n">
        <x:v>36.2</x:v>
      </x:c>
      <x:c r="D16" s="32" t="n">
        <x:v>285.1</x:v>
      </x:c>
      <x:c r="E16" s="32" t="str">
        <x:v>04:45</x:v>
      </x:c>
      <x:c r="F16" s="32" t="str">
        <x:v>Recorded FAST playtest (2026-10-13)</x:v>
      </x:c>
    </x:row>
    <x:row r="17" ht="23" customHeight="1">
      <x:c r="A17" s="32" t="n">
        <x:v>12</x:v>
      </x:c>
      <x:c r="B17" s="32" t="str">
        <x:v>Expand the regular fleet to 3 boats</x:v>
      </x:c>
      <x:c r="C17" s="32" t="n">
        <x:v>60.2</x:v>
      </x:c>
      <x:c r="D17" s="32" t="n">
        <x:v>363.6</x:v>
      </x:c>
      <x:c r="E17" s="32" t="str">
        <x:v>06:04</x:v>
      </x:c>
      <x:c r="F17" s="32" t="str">
        <x:v>Recorded FAST playtest (2026-10-13)</x:v>
      </x:c>
    </x:row>
    <x:row r="18" ht="23" customHeight="1">
      <x:c r="A18" s="32" t="n">
        <x:v>13</x:v>
      </x:c>
      <x:c r="B18" s="32" t="str">
        <x:v>Unlock the red snapper fishing ground</x:v>
      </x:c>
      <x:c r="C18" s="32" t="n">
        <x:v>47.5</x:v>
      </x:c>
      <x:c r="D18" s="32" t="n">
        <x:v>415.3</x:v>
      </x:c>
      <x:c r="E18" s="32" t="str">
        <x:v>06:55</x:v>
      </x:c>
      <x:c r="F18" s="32" t="str">
        <x:v>Recorded FAST playtest (2026-10-13)</x:v>
      </x:c>
    </x:row>
    <x:row r="19" ht="23" customHeight="1">
      <x:c r="A19" s="32" t="n">
        <x:v>14</x:v>
      </x:c>
      <x:c r="B19" s="32" t="str">
        <x:v>Unlock the tuna shoal</x:v>
      </x:c>
      <x:c r="C19" s="32" t="n">
        <x:v>46.7</x:v>
      </x:c>
      <x:c r="D19" s="32" t="n">
        <x:v>492.4</x:v>
      </x:c>
      <x:c r="E19" s="32" t="str">
        <x:v>08:12</x:v>
      </x:c>
      <x:c r="F19" s="32" t="str">
        <x:v>Recorded FAST playtest (2026-10-13)</x:v>
      </x:c>
    </x:row>
    <x:row r="20" ht="23" customHeight="1">
      <x:c r="A20" s="52" t="n">
        <x:v>15</x:v>
      </x:c>
      <x:c r="B20" s="52" t="str">
        <x:v>Open the route to the open sea</x:v>
      </x:c>
      <x:c r="C20" s="52" t="n">
        <x:v>90.8</x:v>
      </x:c>
      <x:c r="D20" s="52" t="n">
        <x:v>600.5</x:v>
      </x:c>
      <x:c r="E20" s="52" t="str">
        <x:v>10:00</x:v>
      </x:c>
      <x:c r="F20" s="52" t="str">
        <x:v>Recorded FAST playtest (2026-10-13)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18" hidden="0" customWidth="1"/>
    <x:col min="4" max="4" width="18" hidden="0" customWidth="1"/>
    <x:col min="5" max="5" width="19" hidden="0" customWidth="1"/>
    <x:col min="6" max="6" width="77" hidden="0" customWidth="1"/>
  </x:cols>
  <x:sheetData>
    <x:row r="1" ht="32" customHeight="1">
      <x:c r="A1" s="3" t="str">
        <x:v>QUIET COVE  /  SECOND PORT (OPTIONAL)</x:v>
      </x:c>
      <x:c r="B1" s="3"/>
      <x:c r="C1" s="3"/>
      <x:c r="D1" s="3"/>
      <x:c r="E1" s="3"/>
      <x:c r="F1" s="3"/>
    </x:row>
    <x:row r="3" ht="24" customHeight="1">
      <x:c r="A3" s="6" t="str">
        <x:v>Not part of 34 guided quests; available after claiming Q26. Cost is separate from Q26.</x:v>
      </x:c>
      <x:c r="B3" s="6"/>
      <x:c r="C3" s="6"/>
      <x:c r="D3" s="6"/>
      <x:c r="E3" s="6"/>
      <x:c r="F3" s="6"/>
    </x:row>
    <x:row r="5" ht="30" customHeight="1">
      <x:c r="A5" s="11" t="str">
        <x:v>BALANCE</x:v>
      </x:c>
      <x:c r="B5" s="11" t="str">
        <x:v>UNLOCK</x:v>
      </x:c>
      <x:c r="C5" s="11" t="str">
        <x:v>COINS</x:v>
      </x:c>
      <x:c r="D5" s="11" t="str">
        <x:v>METAL</x:v>
      </x:c>
      <x:c r="E5" s="11" t="str">
        <x:v>TIMER (s)</x:v>
      </x:c>
      <x:c r="F5" s="11" t="str">
        <x:v>BEHAVIOR</x:v>
      </x:c>
    </x:row>
    <x:row r="6" ht="23" customHeight="1">
      <x:c r="A6" s="32" t="str">
        <x:v>FAST</x:v>
      </x:c>
      <x:c r="B6" s="32" t="str">
        <x:v>Q26 reward claimed</x:v>
      </x:c>
      <x:c r="C6" s="32" t="n">
        <x:v>1800</x:v>
      </x:c>
      <x:c r="D6" s="32" t="n">
        <x:v>60</x:v>
      </x:c>
      <x:c r="E6" s="32" t="n">
        <x:v>45</x:v>
      </x:c>
      <x:c r="F6" s="32" t="str">
        <x:v>Activates second fish unloading location after construction</x:v>
      </x:c>
    </x:row>
    <x:row r="7" ht="23" customHeight="1">
      <x:c r="A7" s="32" t="str">
        <x:v>REFERENCE</x:v>
      </x:c>
      <x:c r="B7" s="32" t="str">
        <x:v>Q26 reward claimed</x:v>
      </x:c>
      <x:c r="C7" s="32" t="n">
        <x:v>11000</x:v>
      </x:c>
      <x:c r="D7" s="32" t="n">
        <x:v>120</x:v>
      </x:c>
      <x:c r="E7" s="32" t="n">
        <x:v>900</x:v>
      </x:c>
      <x:c r="F7" s="32" t="str">
        <x:v>Reference-inspired Kitchen Nest pricing adapted to metal</x:v>
      </x:c>
    </x:row>
  </x:sheetData>
  <x:mergeCells>
    <x:mergeCell ref="A1:F1"/>
    <x:mergeCell ref="A3:F3"/>
  </x:mergeCells>
  <x:pageMargins left="0.7" right="0.7" top="0.75" bottom="0.75" header="0.3" footer="0.3"/>
</x:worksheet>
</file>